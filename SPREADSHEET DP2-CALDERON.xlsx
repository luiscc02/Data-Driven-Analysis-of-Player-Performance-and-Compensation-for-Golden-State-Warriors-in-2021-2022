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09"/>
  <workbookPr/>
  <mc:AlternateContent xmlns:mc="http://schemas.openxmlformats.org/markup-compatibility/2006">
    <mc:Choice Requires="x15">
      <x15ac:absPath xmlns:x15ac="http://schemas.microsoft.com/office/spreadsheetml/2010/11/ac" url="https://utoronto-my.sharepoint.com/personal/taylan_gurpinar_mail_utoronto_ca/Documents/"/>
    </mc:Choice>
  </mc:AlternateContent>
  <xr:revisionPtr revIDLastSave="0" documentId="8_{E3297A2A-0E64-423A-A01C-F2FA95A6FB8C}" xr6:coauthVersionLast="47" xr6:coauthVersionMax="47" xr10:uidLastSave="{00000000-0000-0000-0000-000000000000}"/>
  <bookViews>
    <workbookView xWindow="-98" yWindow="-98" windowWidth="26116" windowHeight="15675" xr2:uid="{00000000-000D-0000-FFFF-FFFF00000000}"/>
  </bookViews>
  <sheets>
    <sheet name="Total Salary" sheetId="8" r:id="rId1"/>
    <sheet name="Regular Season" sheetId="6" r:id="rId2"/>
    <sheet name="Playoffs Season" sheetId="7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" i="8" l="1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6" i="8"/>
  <c r="D183" i="7"/>
  <c r="D184" i="7"/>
  <c r="D185" i="7"/>
  <c r="D186" i="7"/>
  <c r="F18" i="8" s="1"/>
  <c r="D187" i="7"/>
  <c r="F7" i="8" s="1"/>
  <c r="D188" i="7"/>
  <c r="D189" i="7"/>
  <c r="D190" i="7"/>
  <c r="D191" i="7"/>
  <c r="D192" i="7"/>
  <c r="D193" i="7"/>
  <c r="D194" i="7"/>
  <c r="D195" i="7"/>
  <c r="F19" i="8" s="1"/>
  <c r="C183" i="7"/>
  <c r="C184" i="7"/>
  <c r="C185" i="7"/>
  <c r="C186" i="7"/>
  <c r="C187" i="7"/>
  <c r="C188" i="7"/>
  <c r="C189" i="7"/>
  <c r="C190" i="7"/>
  <c r="C191" i="7"/>
  <c r="C192" i="7"/>
  <c r="C193" i="7"/>
  <c r="C194" i="7"/>
  <c r="C195" i="7"/>
  <c r="D182" i="7"/>
  <c r="C182" i="7"/>
  <c r="D183" i="6"/>
  <c r="D184" i="6"/>
  <c r="D185" i="6"/>
  <c r="D186" i="6"/>
  <c r="D187" i="6"/>
  <c r="D188" i="6"/>
  <c r="D189" i="6"/>
  <c r="D190" i="6"/>
  <c r="D191" i="6"/>
  <c r="E14" i="8" s="1"/>
  <c r="D192" i="6"/>
  <c r="D193" i="6"/>
  <c r="D194" i="6"/>
  <c r="D195" i="6"/>
  <c r="D196" i="6"/>
  <c r="E16" i="8" s="1"/>
  <c r="G16" i="8" s="1"/>
  <c r="D197" i="6"/>
  <c r="E22" i="8" s="1"/>
  <c r="G22" i="8" s="1"/>
  <c r="D198" i="6"/>
  <c r="E17" i="8" s="1"/>
  <c r="G17" i="8" s="1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D182" i="6"/>
  <c r="E6" i="8" s="1"/>
  <c r="C182" i="6"/>
  <c r="E18" i="8"/>
  <c r="E7" i="8"/>
  <c r="E19" i="8"/>
  <c r="F16" i="8"/>
  <c r="F22" i="8"/>
  <c r="F17" i="8"/>
  <c r="F20" i="8"/>
  <c r="F15" i="8"/>
  <c r="F13" i="8"/>
  <c r="F14" i="8"/>
  <c r="F9" i="8"/>
  <c r="F12" i="8"/>
  <c r="F21" i="8"/>
  <c r="E20" i="8"/>
  <c r="E15" i="8"/>
  <c r="E13" i="8"/>
  <c r="E9" i="8"/>
  <c r="E12" i="8"/>
  <c r="J119" i="6"/>
  <c r="K119" i="6"/>
  <c r="J120" i="6"/>
  <c r="I120" i="6"/>
  <c r="C119" i="6"/>
  <c r="D119" i="6"/>
  <c r="E119" i="6"/>
  <c r="F119" i="6"/>
  <c r="I89" i="6"/>
  <c r="C161" i="7"/>
  <c r="E167" i="7"/>
  <c r="E168" i="7" s="1"/>
  <c r="E169" i="7" s="1"/>
  <c r="E170" i="7" s="1"/>
  <c r="E171" i="7" s="1"/>
  <c r="E172" i="7" s="1"/>
  <c r="E173" i="7" s="1"/>
  <c r="E174" i="7" s="1"/>
  <c r="E175" i="7" s="1"/>
  <c r="E176" i="7" s="1"/>
  <c r="E177" i="7" s="1"/>
  <c r="C206" i="7" s="1"/>
  <c r="L133" i="7"/>
  <c r="I133" i="7"/>
  <c r="F133" i="7"/>
  <c r="C133" i="7"/>
  <c r="L132" i="7"/>
  <c r="I132" i="7"/>
  <c r="F132" i="7"/>
  <c r="C132" i="7"/>
  <c r="L131" i="7"/>
  <c r="I131" i="7"/>
  <c r="F131" i="7"/>
  <c r="C131" i="7"/>
  <c r="L130" i="7"/>
  <c r="I130" i="7"/>
  <c r="F130" i="7"/>
  <c r="C130" i="7"/>
  <c r="L129" i="7"/>
  <c r="I129" i="7"/>
  <c r="F129" i="7"/>
  <c r="C129" i="7"/>
  <c r="L128" i="7"/>
  <c r="I128" i="7"/>
  <c r="F128" i="7"/>
  <c r="C128" i="7"/>
  <c r="L127" i="7"/>
  <c r="I127" i="7"/>
  <c r="F127" i="7"/>
  <c r="C127" i="7"/>
  <c r="L126" i="7"/>
  <c r="I126" i="7"/>
  <c r="F126" i="7"/>
  <c r="C126" i="7"/>
  <c r="L125" i="7"/>
  <c r="I125" i="7"/>
  <c r="F125" i="7"/>
  <c r="C125" i="7"/>
  <c r="L124" i="7"/>
  <c r="I124" i="7"/>
  <c r="F124" i="7"/>
  <c r="C124" i="7"/>
  <c r="L123" i="7"/>
  <c r="I123" i="7"/>
  <c r="F123" i="7"/>
  <c r="C123" i="7"/>
  <c r="L122" i="7"/>
  <c r="I122" i="7"/>
  <c r="F122" i="7"/>
  <c r="C122" i="7"/>
  <c r="L121" i="7"/>
  <c r="I121" i="7"/>
  <c r="F121" i="7"/>
  <c r="C121" i="7"/>
  <c r="L120" i="7"/>
  <c r="I120" i="7"/>
  <c r="F120" i="7"/>
  <c r="C120" i="7"/>
  <c r="L119" i="7"/>
  <c r="I119" i="7"/>
  <c r="F119" i="7"/>
  <c r="C119" i="7"/>
  <c r="L118" i="7"/>
  <c r="I118" i="7"/>
  <c r="F118" i="7"/>
  <c r="C118" i="7"/>
  <c r="L117" i="7"/>
  <c r="I117" i="7"/>
  <c r="F117" i="7"/>
  <c r="C117" i="7"/>
  <c r="K133" i="7"/>
  <c r="E133" i="7"/>
  <c r="K132" i="7"/>
  <c r="E132" i="7"/>
  <c r="K131" i="7"/>
  <c r="E131" i="7"/>
  <c r="K102" i="7"/>
  <c r="K130" i="7" s="1"/>
  <c r="F102" i="7"/>
  <c r="E130" i="7" s="1"/>
  <c r="K101" i="7"/>
  <c r="K129" i="7" s="1"/>
  <c r="F101" i="7"/>
  <c r="E129" i="7" s="1"/>
  <c r="K100" i="7"/>
  <c r="K128" i="7" s="1"/>
  <c r="F100" i="7"/>
  <c r="E128" i="7" s="1"/>
  <c r="K99" i="7"/>
  <c r="K127" i="7" s="1"/>
  <c r="F99" i="7"/>
  <c r="E127" i="7" s="1"/>
  <c r="K98" i="7"/>
  <c r="K126" i="7" s="1"/>
  <c r="F98" i="7"/>
  <c r="E126" i="7" s="1"/>
  <c r="K97" i="7"/>
  <c r="K125" i="7" s="1"/>
  <c r="F97" i="7"/>
  <c r="E125" i="7" s="1"/>
  <c r="K96" i="7"/>
  <c r="K124" i="7" s="1"/>
  <c r="F96" i="7"/>
  <c r="E124" i="7" s="1"/>
  <c r="K95" i="7"/>
  <c r="K123" i="7" s="1"/>
  <c r="F95" i="7"/>
  <c r="E123" i="7" s="1"/>
  <c r="K94" i="7"/>
  <c r="K122" i="7" s="1"/>
  <c r="F94" i="7"/>
  <c r="E122" i="7" s="1"/>
  <c r="K93" i="7"/>
  <c r="K121" i="7" s="1"/>
  <c r="F93" i="7"/>
  <c r="E121" i="7" s="1"/>
  <c r="K92" i="7"/>
  <c r="K120" i="7" s="1"/>
  <c r="F92" i="7"/>
  <c r="E120" i="7" s="1"/>
  <c r="K91" i="7"/>
  <c r="K119" i="7" s="1"/>
  <c r="F91" i="7"/>
  <c r="E119" i="7" s="1"/>
  <c r="K90" i="7"/>
  <c r="K118" i="7" s="1"/>
  <c r="F90" i="7"/>
  <c r="E118" i="7" s="1"/>
  <c r="K89" i="7"/>
  <c r="K117" i="7" s="1"/>
  <c r="F89" i="7"/>
  <c r="E117" i="7" s="1"/>
  <c r="N84" i="7"/>
  <c r="N83" i="7"/>
  <c r="N82" i="7"/>
  <c r="N81" i="7"/>
  <c r="N80" i="7"/>
  <c r="N79" i="7"/>
  <c r="N78" i="7"/>
  <c r="N77" i="7"/>
  <c r="N76" i="7"/>
  <c r="N75" i="7"/>
  <c r="N74" i="7"/>
  <c r="N73" i="7"/>
  <c r="N72" i="7"/>
  <c r="N71" i="7"/>
  <c r="N70" i="7"/>
  <c r="N69" i="7"/>
  <c r="N68" i="7"/>
  <c r="N64" i="7"/>
  <c r="N63" i="7"/>
  <c r="N62" i="7"/>
  <c r="N61" i="7"/>
  <c r="N60" i="7"/>
  <c r="N59" i="7"/>
  <c r="N58" i="7"/>
  <c r="N57" i="7"/>
  <c r="N56" i="7"/>
  <c r="N55" i="7"/>
  <c r="N54" i="7"/>
  <c r="N53" i="7"/>
  <c r="N52" i="7"/>
  <c r="N51" i="7"/>
  <c r="N50" i="7"/>
  <c r="N49" i="7"/>
  <c r="N48" i="7"/>
  <c r="M44" i="7"/>
  <c r="L44" i="7"/>
  <c r="K44" i="7"/>
  <c r="J44" i="7"/>
  <c r="I44" i="7"/>
  <c r="H44" i="7"/>
  <c r="G44" i="7"/>
  <c r="F44" i="7"/>
  <c r="E44" i="7"/>
  <c r="D44" i="7"/>
  <c r="M43" i="7"/>
  <c r="L43" i="7"/>
  <c r="K43" i="7"/>
  <c r="J43" i="7"/>
  <c r="I43" i="7"/>
  <c r="H43" i="7"/>
  <c r="G43" i="7"/>
  <c r="F43" i="7"/>
  <c r="E43" i="7"/>
  <c r="D43" i="7"/>
  <c r="M42" i="7"/>
  <c r="L42" i="7"/>
  <c r="K42" i="7"/>
  <c r="J42" i="7"/>
  <c r="I42" i="7"/>
  <c r="H42" i="7"/>
  <c r="G42" i="7"/>
  <c r="F42" i="7"/>
  <c r="E42" i="7"/>
  <c r="D42" i="7"/>
  <c r="M41" i="7"/>
  <c r="L41" i="7"/>
  <c r="K41" i="7"/>
  <c r="J41" i="7"/>
  <c r="I41" i="7"/>
  <c r="H41" i="7"/>
  <c r="G41" i="7"/>
  <c r="F41" i="7"/>
  <c r="E41" i="7"/>
  <c r="D41" i="7"/>
  <c r="C41" i="7"/>
  <c r="M40" i="7"/>
  <c r="L40" i="7"/>
  <c r="K40" i="7"/>
  <c r="J40" i="7"/>
  <c r="I40" i="7"/>
  <c r="H40" i="7"/>
  <c r="G40" i="7"/>
  <c r="F40" i="7"/>
  <c r="E40" i="7"/>
  <c r="D40" i="7"/>
  <c r="C40" i="7"/>
  <c r="M39" i="7"/>
  <c r="L39" i="7"/>
  <c r="K39" i="7"/>
  <c r="J39" i="7"/>
  <c r="I39" i="7"/>
  <c r="H39" i="7"/>
  <c r="G39" i="7"/>
  <c r="F39" i="7"/>
  <c r="E39" i="7"/>
  <c r="D39" i="7"/>
  <c r="C39" i="7"/>
  <c r="M38" i="7"/>
  <c r="L38" i="7"/>
  <c r="K38" i="7"/>
  <c r="J38" i="7"/>
  <c r="I38" i="7"/>
  <c r="H38" i="7"/>
  <c r="G38" i="7"/>
  <c r="F38" i="7"/>
  <c r="E38" i="7"/>
  <c r="D38" i="7"/>
  <c r="C38" i="7"/>
  <c r="M37" i="7"/>
  <c r="L37" i="7"/>
  <c r="K37" i="7"/>
  <c r="J37" i="7"/>
  <c r="I37" i="7"/>
  <c r="H37" i="7"/>
  <c r="G37" i="7"/>
  <c r="F37" i="7"/>
  <c r="E37" i="7"/>
  <c r="D37" i="7"/>
  <c r="C37" i="7"/>
  <c r="M36" i="7"/>
  <c r="L36" i="7"/>
  <c r="K36" i="7"/>
  <c r="J36" i="7"/>
  <c r="I36" i="7"/>
  <c r="H36" i="7"/>
  <c r="G36" i="7"/>
  <c r="F36" i="7"/>
  <c r="E36" i="7"/>
  <c r="D36" i="7"/>
  <c r="C36" i="7"/>
  <c r="M35" i="7"/>
  <c r="L35" i="7"/>
  <c r="K35" i="7"/>
  <c r="J35" i="7"/>
  <c r="I35" i="7"/>
  <c r="H35" i="7"/>
  <c r="G35" i="7"/>
  <c r="F35" i="7"/>
  <c r="E35" i="7"/>
  <c r="D35" i="7"/>
  <c r="C35" i="7"/>
  <c r="M34" i="7"/>
  <c r="L34" i="7"/>
  <c r="K34" i="7"/>
  <c r="J34" i="7"/>
  <c r="I34" i="7"/>
  <c r="H34" i="7"/>
  <c r="G34" i="7"/>
  <c r="F34" i="7"/>
  <c r="E34" i="7"/>
  <c r="D34" i="7"/>
  <c r="C34" i="7"/>
  <c r="M33" i="7"/>
  <c r="L33" i="7"/>
  <c r="K33" i="7"/>
  <c r="J33" i="7"/>
  <c r="I33" i="7"/>
  <c r="H33" i="7"/>
  <c r="G33" i="7"/>
  <c r="F33" i="7"/>
  <c r="E33" i="7"/>
  <c r="D33" i="7"/>
  <c r="C33" i="7"/>
  <c r="M32" i="7"/>
  <c r="L32" i="7"/>
  <c r="K32" i="7"/>
  <c r="J32" i="7"/>
  <c r="I32" i="7"/>
  <c r="H32" i="7"/>
  <c r="G32" i="7"/>
  <c r="F32" i="7"/>
  <c r="E32" i="7"/>
  <c r="D32" i="7"/>
  <c r="C32" i="7"/>
  <c r="M31" i="7"/>
  <c r="L31" i="7"/>
  <c r="K31" i="7"/>
  <c r="J31" i="7"/>
  <c r="I31" i="7"/>
  <c r="H31" i="7"/>
  <c r="G31" i="7"/>
  <c r="F31" i="7"/>
  <c r="E31" i="7"/>
  <c r="D31" i="7"/>
  <c r="C31" i="7"/>
  <c r="M30" i="7"/>
  <c r="L30" i="7"/>
  <c r="K30" i="7"/>
  <c r="J30" i="7"/>
  <c r="I30" i="7"/>
  <c r="H30" i="7"/>
  <c r="G30" i="7"/>
  <c r="F30" i="7"/>
  <c r="E30" i="7"/>
  <c r="D30" i="7"/>
  <c r="C30" i="7"/>
  <c r="M29" i="7"/>
  <c r="L29" i="7"/>
  <c r="K29" i="7"/>
  <c r="J29" i="7"/>
  <c r="I29" i="7"/>
  <c r="H29" i="7"/>
  <c r="G29" i="7"/>
  <c r="F29" i="7"/>
  <c r="E29" i="7"/>
  <c r="D29" i="7"/>
  <c r="C29" i="7"/>
  <c r="M28" i="7"/>
  <c r="L28" i="7"/>
  <c r="K28" i="7"/>
  <c r="J28" i="7"/>
  <c r="I28" i="7"/>
  <c r="H28" i="7"/>
  <c r="G28" i="7"/>
  <c r="F28" i="7"/>
  <c r="E28" i="7"/>
  <c r="D28" i="7"/>
  <c r="C28" i="7"/>
  <c r="E167" i="6"/>
  <c r="E168" i="6" s="1"/>
  <c r="E169" i="6" s="1"/>
  <c r="E170" i="6" s="1"/>
  <c r="E171" i="6" s="1"/>
  <c r="E172" i="6" s="1"/>
  <c r="E173" i="6" s="1"/>
  <c r="E174" i="6" s="1"/>
  <c r="E175" i="6" s="1"/>
  <c r="E176" i="6" s="1"/>
  <c r="E177" i="6" s="1"/>
  <c r="C206" i="6" s="1"/>
  <c r="L133" i="6"/>
  <c r="I133" i="6"/>
  <c r="F133" i="6"/>
  <c r="C133" i="6"/>
  <c r="L132" i="6"/>
  <c r="I132" i="6"/>
  <c r="F132" i="6"/>
  <c r="C132" i="6"/>
  <c r="L131" i="6"/>
  <c r="I131" i="6"/>
  <c r="F131" i="6"/>
  <c r="C131" i="6"/>
  <c r="L130" i="6"/>
  <c r="I130" i="6"/>
  <c r="F130" i="6"/>
  <c r="C130" i="6"/>
  <c r="L129" i="6"/>
  <c r="I129" i="6"/>
  <c r="F129" i="6"/>
  <c r="C129" i="6"/>
  <c r="L128" i="6"/>
  <c r="I128" i="6"/>
  <c r="F128" i="6"/>
  <c r="C128" i="6"/>
  <c r="L127" i="6"/>
  <c r="I127" i="6"/>
  <c r="F127" i="6"/>
  <c r="C127" i="6"/>
  <c r="L126" i="6"/>
  <c r="I126" i="6"/>
  <c r="F126" i="6"/>
  <c r="C126" i="6"/>
  <c r="L125" i="6"/>
  <c r="I125" i="6"/>
  <c r="F125" i="6"/>
  <c r="C125" i="6"/>
  <c r="L124" i="6"/>
  <c r="I124" i="6"/>
  <c r="F124" i="6"/>
  <c r="C124" i="6"/>
  <c r="L123" i="6"/>
  <c r="I123" i="6"/>
  <c r="F123" i="6"/>
  <c r="C123" i="6"/>
  <c r="L122" i="6"/>
  <c r="I122" i="6"/>
  <c r="F122" i="6"/>
  <c r="C122" i="6"/>
  <c r="L121" i="6"/>
  <c r="I121" i="6"/>
  <c r="F121" i="6"/>
  <c r="C121" i="6"/>
  <c r="L120" i="6"/>
  <c r="F120" i="6"/>
  <c r="C120" i="6"/>
  <c r="L119" i="6"/>
  <c r="I119" i="6"/>
  <c r="L118" i="6"/>
  <c r="I118" i="6"/>
  <c r="F118" i="6"/>
  <c r="C118" i="6"/>
  <c r="L117" i="6"/>
  <c r="I117" i="6"/>
  <c r="F117" i="6"/>
  <c r="C117" i="6"/>
  <c r="K105" i="6"/>
  <c r="K133" i="6" s="1"/>
  <c r="F105" i="6"/>
  <c r="E133" i="6" s="1"/>
  <c r="K104" i="6"/>
  <c r="K132" i="6" s="1"/>
  <c r="F104" i="6"/>
  <c r="E132" i="6" s="1"/>
  <c r="K103" i="6"/>
  <c r="K131" i="6" s="1"/>
  <c r="F103" i="6"/>
  <c r="E131" i="6" s="1"/>
  <c r="K102" i="6"/>
  <c r="K130" i="6" s="1"/>
  <c r="F102" i="6"/>
  <c r="E130" i="6" s="1"/>
  <c r="K101" i="6"/>
  <c r="K129" i="6" s="1"/>
  <c r="F101" i="6"/>
  <c r="E129" i="6" s="1"/>
  <c r="K100" i="6"/>
  <c r="K128" i="6" s="1"/>
  <c r="F100" i="6"/>
  <c r="E128" i="6" s="1"/>
  <c r="K99" i="6"/>
  <c r="K127" i="6" s="1"/>
  <c r="F99" i="6"/>
  <c r="E127" i="6" s="1"/>
  <c r="K98" i="6"/>
  <c r="K126" i="6" s="1"/>
  <c r="F98" i="6"/>
  <c r="E126" i="6" s="1"/>
  <c r="K97" i="6"/>
  <c r="K125" i="6" s="1"/>
  <c r="F97" i="6"/>
  <c r="E125" i="6" s="1"/>
  <c r="K96" i="6"/>
  <c r="K124" i="6" s="1"/>
  <c r="F96" i="6"/>
  <c r="E124" i="6" s="1"/>
  <c r="K95" i="6"/>
  <c r="K123" i="6" s="1"/>
  <c r="F95" i="6"/>
  <c r="E123" i="6" s="1"/>
  <c r="K94" i="6"/>
  <c r="K122" i="6" s="1"/>
  <c r="F94" i="6"/>
  <c r="E122" i="6" s="1"/>
  <c r="K93" i="6"/>
  <c r="K121" i="6" s="1"/>
  <c r="F93" i="6"/>
  <c r="E121" i="6" s="1"/>
  <c r="K92" i="6"/>
  <c r="K120" i="6" s="1"/>
  <c r="F92" i="6"/>
  <c r="E120" i="6" s="1"/>
  <c r="K91" i="6"/>
  <c r="F91" i="6"/>
  <c r="K90" i="6"/>
  <c r="K118" i="6" s="1"/>
  <c r="F90" i="6"/>
  <c r="E118" i="6" s="1"/>
  <c r="K89" i="6"/>
  <c r="K117" i="6" s="1"/>
  <c r="F89" i="6"/>
  <c r="E117" i="6" s="1"/>
  <c r="N84" i="6"/>
  <c r="N83" i="6"/>
  <c r="N82" i="6"/>
  <c r="N81" i="6"/>
  <c r="N80" i="6"/>
  <c r="N79" i="6"/>
  <c r="N78" i="6"/>
  <c r="N77" i="6"/>
  <c r="N76" i="6"/>
  <c r="N75" i="6"/>
  <c r="N74" i="6"/>
  <c r="N73" i="6"/>
  <c r="N72" i="6"/>
  <c r="N71" i="6"/>
  <c r="N70" i="6"/>
  <c r="N69" i="6"/>
  <c r="N68" i="6"/>
  <c r="N64" i="6"/>
  <c r="N63" i="6"/>
  <c r="N62" i="6"/>
  <c r="N61" i="6"/>
  <c r="N60" i="6"/>
  <c r="N59" i="6"/>
  <c r="N58" i="6"/>
  <c r="N57" i="6"/>
  <c r="N56" i="6"/>
  <c r="N55" i="6"/>
  <c r="N54" i="6"/>
  <c r="N53" i="6"/>
  <c r="N52" i="6"/>
  <c r="N51" i="6"/>
  <c r="N50" i="6"/>
  <c r="N49" i="6"/>
  <c r="N48" i="6"/>
  <c r="M44" i="6"/>
  <c r="L44" i="6"/>
  <c r="K44" i="6"/>
  <c r="J44" i="6"/>
  <c r="I44" i="6"/>
  <c r="H44" i="6"/>
  <c r="G44" i="6"/>
  <c r="F44" i="6"/>
  <c r="E44" i="6"/>
  <c r="D44" i="6"/>
  <c r="C44" i="6"/>
  <c r="M43" i="6"/>
  <c r="L43" i="6"/>
  <c r="K43" i="6"/>
  <c r="J43" i="6"/>
  <c r="I43" i="6"/>
  <c r="H43" i="6"/>
  <c r="G43" i="6"/>
  <c r="F43" i="6"/>
  <c r="E43" i="6"/>
  <c r="D43" i="6"/>
  <c r="C43" i="6"/>
  <c r="M42" i="6"/>
  <c r="L42" i="6"/>
  <c r="K42" i="6"/>
  <c r="J42" i="6"/>
  <c r="I42" i="6"/>
  <c r="H42" i="6"/>
  <c r="G42" i="6"/>
  <c r="F42" i="6"/>
  <c r="E42" i="6"/>
  <c r="D42" i="6"/>
  <c r="C42" i="6"/>
  <c r="M41" i="6"/>
  <c r="L41" i="6"/>
  <c r="K41" i="6"/>
  <c r="J41" i="6"/>
  <c r="I41" i="6"/>
  <c r="H41" i="6"/>
  <c r="G41" i="6"/>
  <c r="F41" i="6"/>
  <c r="E41" i="6"/>
  <c r="D41" i="6"/>
  <c r="C41" i="6"/>
  <c r="M40" i="6"/>
  <c r="L40" i="6"/>
  <c r="K40" i="6"/>
  <c r="J40" i="6"/>
  <c r="I40" i="6"/>
  <c r="H40" i="6"/>
  <c r="G40" i="6"/>
  <c r="F40" i="6"/>
  <c r="E40" i="6"/>
  <c r="D40" i="6"/>
  <c r="C40" i="6"/>
  <c r="M39" i="6"/>
  <c r="L39" i="6"/>
  <c r="K39" i="6"/>
  <c r="J39" i="6"/>
  <c r="I39" i="6"/>
  <c r="H39" i="6"/>
  <c r="G39" i="6"/>
  <c r="F39" i="6"/>
  <c r="E39" i="6"/>
  <c r="D39" i="6"/>
  <c r="C39" i="6"/>
  <c r="M38" i="6"/>
  <c r="L38" i="6"/>
  <c r="K38" i="6"/>
  <c r="J38" i="6"/>
  <c r="I38" i="6"/>
  <c r="H38" i="6"/>
  <c r="G38" i="6"/>
  <c r="F38" i="6"/>
  <c r="E38" i="6"/>
  <c r="D38" i="6"/>
  <c r="C38" i="6"/>
  <c r="M37" i="6"/>
  <c r="L37" i="6"/>
  <c r="K37" i="6"/>
  <c r="J37" i="6"/>
  <c r="I37" i="6"/>
  <c r="H37" i="6"/>
  <c r="G37" i="6"/>
  <c r="F37" i="6"/>
  <c r="E37" i="6"/>
  <c r="D37" i="6"/>
  <c r="C37" i="6"/>
  <c r="M36" i="6"/>
  <c r="L36" i="6"/>
  <c r="K36" i="6"/>
  <c r="J36" i="6"/>
  <c r="I36" i="6"/>
  <c r="H36" i="6"/>
  <c r="G36" i="6"/>
  <c r="F36" i="6"/>
  <c r="E36" i="6"/>
  <c r="D36" i="6"/>
  <c r="C36" i="6"/>
  <c r="M35" i="6"/>
  <c r="L35" i="6"/>
  <c r="K35" i="6"/>
  <c r="J35" i="6"/>
  <c r="I35" i="6"/>
  <c r="H35" i="6"/>
  <c r="G35" i="6"/>
  <c r="F35" i="6"/>
  <c r="E35" i="6"/>
  <c r="D35" i="6"/>
  <c r="C35" i="6"/>
  <c r="M34" i="6"/>
  <c r="L34" i="6"/>
  <c r="K34" i="6"/>
  <c r="J34" i="6"/>
  <c r="I34" i="6"/>
  <c r="H34" i="6"/>
  <c r="G34" i="6"/>
  <c r="F34" i="6"/>
  <c r="E34" i="6"/>
  <c r="D34" i="6"/>
  <c r="C34" i="6"/>
  <c r="M33" i="6"/>
  <c r="L33" i="6"/>
  <c r="K33" i="6"/>
  <c r="J33" i="6"/>
  <c r="I33" i="6"/>
  <c r="H33" i="6"/>
  <c r="G33" i="6"/>
  <c r="F33" i="6"/>
  <c r="E33" i="6"/>
  <c r="D33" i="6"/>
  <c r="C33" i="6"/>
  <c r="M32" i="6"/>
  <c r="L32" i="6"/>
  <c r="K32" i="6"/>
  <c r="J32" i="6"/>
  <c r="I32" i="6"/>
  <c r="H32" i="6"/>
  <c r="G32" i="6"/>
  <c r="F32" i="6"/>
  <c r="E32" i="6"/>
  <c r="D32" i="6"/>
  <c r="C32" i="6"/>
  <c r="M31" i="6"/>
  <c r="L31" i="6"/>
  <c r="K31" i="6"/>
  <c r="J31" i="6"/>
  <c r="I31" i="6"/>
  <c r="H31" i="6"/>
  <c r="G31" i="6"/>
  <c r="F31" i="6"/>
  <c r="E31" i="6"/>
  <c r="D31" i="6"/>
  <c r="C31" i="6"/>
  <c r="M30" i="6"/>
  <c r="L30" i="6"/>
  <c r="K30" i="6"/>
  <c r="J30" i="6"/>
  <c r="I30" i="6"/>
  <c r="H30" i="6"/>
  <c r="G30" i="6"/>
  <c r="F30" i="6"/>
  <c r="E30" i="6"/>
  <c r="D30" i="6"/>
  <c r="C30" i="6"/>
  <c r="M29" i="6"/>
  <c r="L29" i="6"/>
  <c r="K29" i="6"/>
  <c r="J29" i="6"/>
  <c r="I29" i="6"/>
  <c r="H29" i="6"/>
  <c r="G29" i="6"/>
  <c r="F29" i="6"/>
  <c r="E29" i="6"/>
  <c r="D29" i="6"/>
  <c r="C29" i="6"/>
  <c r="M28" i="6"/>
  <c r="L28" i="6"/>
  <c r="K28" i="6"/>
  <c r="J28" i="6"/>
  <c r="I28" i="6"/>
  <c r="H28" i="6"/>
  <c r="G28" i="6"/>
  <c r="F28" i="6"/>
  <c r="E28" i="6"/>
  <c r="D28" i="6"/>
  <c r="C28" i="6"/>
  <c r="F10" i="8" l="1"/>
  <c r="F8" i="8"/>
  <c r="G20" i="8"/>
  <c r="G18" i="8"/>
  <c r="G12" i="8"/>
  <c r="G13" i="8"/>
  <c r="F6" i="8"/>
  <c r="G6" i="8"/>
  <c r="E8" i="8"/>
  <c r="G8" i="8" s="1"/>
  <c r="E11" i="8"/>
  <c r="E10" i="8"/>
  <c r="G10" i="8" s="1"/>
  <c r="G14" i="8"/>
  <c r="G19" i="8"/>
  <c r="G7" i="8"/>
  <c r="E21" i="8"/>
  <c r="G21" i="8" s="1"/>
  <c r="G15" i="8"/>
  <c r="F11" i="8"/>
  <c r="G11" i="8" s="1"/>
  <c r="G9" i="8"/>
  <c r="C68" i="7"/>
  <c r="C48" i="7"/>
  <c r="D68" i="7"/>
  <c r="D48" i="7"/>
  <c r="E68" i="7"/>
  <c r="E48" i="7"/>
  <c r="F68" i="7"/>
  <c r="F48" i="7"/>
  <c r="G68" i="7"/>
  <c r="G48" i="7"/>
  <c r="H68" i="7"/>
  <c r="H48" i="7"/>
  <c r="I68" i="7"/>
  <c r="I48" i="7"/>
  <c r="J68" i="7"/>
  <c r="J48" i="7"/>
  <c r="K68" i="7"/>
  <c r="K48" i="7"/>
  <c r="L68" i="7"/>
  <c r="L48" i="7"/>
  <c r="M68" i="7"/>
  <c r="M48" i="7"/>
  <c r="C69" i="7"/>
  <c r="C49" i="7"/>
  <c r="D69" i="7"/>
  <c r="D49" i="7"/>
  <c r="E69" i="7"/>
  <c r="E49" i="7"/>
  <c r="F69" i="7"/>
  <c r="F49" i="7"/>
  <c r="G69" i="7"/>
  <c r="G49" i="7"/>
  <c r="H69" i="7"/>
  <c r="H49" i="7"/>
  <c r="I69" i="7"/>
  <c r="I49" i="7"/>
  <c r="J69" i="7"/>
  <c r="J49" i="7"/>
  <c r="K69" i="7"/>
  <c r="K49" i="7"/>
  <c r="L69" i="7"/>
  <c r="L49" i="7"/>
  <c r="M69" i="7"/>
  <c r="M49" i="7"/>
  <c r="C70" i="7"/>
  <c r="C50" i="7"/>
  <c r="D70" i="7"/>
  <c r="D50" i="7"/>
  <c r="E70" i="7"/>
  <c r="E50" i="7"/>
  <c r="F70" i="7"/>
  <c r="F50" i="7"/>
  <c r="G70" i="7"/>
  <c r="G50" i="7"/>
  <c r="H70" i="7"/>
  <c r="H50" i="7"/>
  <c r="I70" i="7"/>
  <c r="I50" i="7"/>
  <c r="J70" i="7"/>
  <c r="J50" i="7"/>
  <c r="K70" i="7"/>
  <c r="K50" i="7"/>
  <c r="L70" i="7"/>
  <c r="L50" i="7"/>
  <c r="M70" i="7"/>
  <c r="M50" i="7"/>
  <c r="C71" i="7"/>
  <c r="C51" i="7"/>
  <c r="D71" i="7"/>
  <c r="D51" i="7"/>
  <c r="E71" i="7"/>
  <c r="E51" i="7"/>
  <c r="F71" i="7"/>
  <c r="F51" i="7"/>
  <c r="G71" i="7"/>
  <c r="G51" i="7"/>
  <c r="H71" i="7"/>
  <c r="H51" i="7"/>
  <c r="I71" i="7"/>
  <c r="I51" i="7"/>
  <c r="J71" i="7"/>
  <c r="J51" i="7"/>
  <c r="K71" i="7"/>
  <c r="K51" i="7"/>
  <c r="L71" i="7"/>
  <c r="L51" i="7"/>
  <c r="M71" i="7"/>
  <c r="M51" i="7"/>
  <c r="C72" i="7"/>
  <c r="C52" i="7"/>
  <c r="D72" i="7"/>
  <c r="D52" i="7"/>
  <c r="E72" i="7"/>
  <c r="E52" i="7"/>
  <c r="F72" i="7"/>
  <c r="F52" i="7"/>
  <c r="G72" i="7"/>
  <c r="G52" i="7"/>
  <c r="H72" i="7"/>
  <c r="H52" i="7"/>
  <c r="I72" i="7"/>
  <c r="I52" i="7"/>
  <c r="J72" i="7"/>
  <c r="J52" i="7"/>
  <c r="K72" i="7"/>
  <c r="K52" i="7"/>
  <c r="L72" i="7"/>
  <c r="L52" i="7"/>
  <c r="M72" i="7"/>
  <c r="M52" i="7"/>
  <c r="C73" i="7"/>
  <c r="C53" i="7"/>
  <c r="D73" i="7"/>
  <c r="D53" i="7"/>
  <c r="E73" i="7"/>
  <c r="E53" i="7"/>
  <c r="F73" i="7"/>
  <c r="F53" i="7"/>
  <c r="G73" i="7"/>
  <c r="G53" i="7"/>
  <c r="H73" i="7"/>
  <c r="H53" i="7"/>
  <c r="I73" i="7"/>
  <c r="I53" i="7"/>
  <c r="J73" i="7"/>
  <c r="J53" i="7"/>
  <c r="K73" i="7"/>
  <c r="K53" i="7"/>
  <c r="L73" i="7"/>
  <c r="L53" i="7"/>
  <c r="M73" i="7"/>
  <c r="M53" i="7"/>
  <c r="C74" i="7"/>
  <c r="C54" i="7"/>
  <c r="D74" i="7"/>
  <c r="D54" i="7"/>
  <c r="E74" i="7"/>
  <c r="E54" i="7"/>
  <c r="F74" i="7"/>
  <c r="F54" i="7"/>
  <c r="G74" i="7"/>
  <c r="G54" i="7"/>
  <c r="H74" i="7"/>
  <c r="H54" i="7"/>
  <c r="I74" i="7"/>
  <c r="I54" i="7"/>
  <c r="J74" i="7"/>
  <c r="J54" i="7"/>
  <c r="K74" i="7"/>
  <c r="K54" i="7"/>
  <c r="L74" i="7"/>
  <c r="L54" i="7"/>
  <c r="M74" i="7"/>
  <c r="M54" i="7"/>
  <c r="C75" i="7"/>
  <c r="C55" i="7"/>
  <c r="D75" i="7"/>
  <c r="D55" i="7"/>
  <c r="E75" i="7"/>
  <c r="E55" i="7"/>
  <c r="F75" i="7"/>
  <c r="F55" i="7"/>
  <c r="G75" i="7"/>
  <c r="G55" i="7"/>
  <c r="H75" i="7"/>
  <c r="H55" i="7"/>
  <c r="I75" i="7"/>
  <c r="I55" i="7"/>
  <c r="J75" i="7"/>
  <c r="J55" i="7"/>
  <c r="K75" i="7"/>
  <c r="K55" i="7"/>
  <c r="L75" i="7"/>
  <c r="L55" i="7"/>
  <c r="M75" i="7"/>
  <c r="M55" i="7"/>
  <c r="C76" i="7"/>
  <c r="C56" i="7"/>
  <c r="D76" i="7"/>
  <c r="D56" i="7"/>
  <c r="E76" i="7"/>
  <c r="E56" i="7"/>
  <c r="F76" i="7"/>
  <c r="F56" i="7"/>
  <c r="G76" i="7"/>
  <c r="G56" i="7"/>
  <c r="H76" i="7"/>
  <c r="H56" i="7"/>
  <c r="I76" i="7"/>
  <c r="I56" i="7"/>
  <c r="J76" i="7"/>
  <c r="J56" i="7"/>
  <c r="K76" i="7"/>
  <c r="K56" i="7"/>
  <c r="L76" i="7"/>
  <c r="L56" i="7"/>
  <c r="M76" i="7"/>
  <c r="M56" i="7"/>
  <c r="C77" i="7"/>
  <c r="C57" i="7"/>
  <c r="D77" i="7"/>
  <c r="D57" i="7"/>
  <c r="E77" i="7"/>
  <c r="E57" i="7"/>
  <c r="F77" i="7"/>
  <c r="F57" i="7"/>
  <c r="G77" i="7"/>
  <c r="G57" i="7"/>
  <c r="H77" i="7"/>
  <c r="H57" i="7"/>
  <c r="I77" i="7"/>
  <c r="I57" i="7"/>
  <c r="J77" i="7"/>
  <c r="J57" i="7"/>
  <c r="K77" i="7"/>
  <c r="K57" i="7"/>
  <c r="L77" i="7"/>
  <c r="L57" i="7"/>
  <c r="M77" i="7"/>
  <c r="M57" i="7"/>
  <c r="C78" i="7"/>
  <c r="C58" i="7"/>
  <c r="D78" i="7"/>
  <c r="D58" i="7"/>
  <c r="E78" i="7"/>
  <c r="E58" i="7"/>
  <c r="F78" i="7"/>
  <c r="F58" i="7"/>
  <c r="G78" i="7"/>
  <c r="G58" i="7"/>
  <c r="H78" i="7"/>
  <c r="H58" i="7"/>
  <c r="I78" i="7"/>
  <c r="I58" i="7"/>
  <c r="J78" i="7"/>
  <c r="J58" i="7"/>
  <c r="K78" i="7"/>
  <c r="K58" i="7"/>
  <c r="L78" i="7"/>
  <c r="L58" i="7"/>
  <c r="M78" i="7"/>
  <c r="M58" i="7"/>
  <c r="C79" i="7"/>
  <c r="C59" i="7"/>
  <c r="D79" i="7"/>
  <c r="D59" i="7"/>
  <c r="E79" i="7"/>
  <c r="E59" i="7"/>
  <c r="F79" i="7"/>
  <c r="F59" i="7"/>
  <c r="G79" i="7"/>
  <c r="G59" i="7"/>
  <c r="H79" i="7"/>
  <c r="H59" i="7"/>
  <c r="I79" i="7"/>
  <c r="I59" i="7"/>
  <c r="J79" i="7"/>
  <c r="J59" i="7"/>
  <c r="K79" i="7"/>
  <c r="K59" i="7"/>
  <c r="L79" i="7"/>
  <c r="L59" i="7"/>
  <c r="M79" i="7"/>
  <c r="M59" i="7"/>
  <c r="C80" i="7"/>
  <c r="C60" i="7"/>
  <c r="D80" i="7"/>
  <c r="D60" i="7"/>
  <c r="E80" i="7"/>
  <c r="E60" i="7"/>
  <c r="F80" i="7"/>
  <c r="F60" i="7"/>
  <c r="G80" i="7"/>
  <c r="G60" i="7"/>
  <c r="H80" i="7"/>
  <c r="H60" i="7"/>
  <c r="I80" i="7"/>
  <c r="I60" i="7"/>
  <c r="J80" i="7"/>
  <c r="J60" i="7"/>
  <c r="K80" i="7"/>
  <c r="K60" i="7"/>
  <c r="L80" i="7"/>
  <c r="L60" i="7"/>
  <c r="M80" i="7"/>
  <c r="M60" i="7"/>
  <c r="C81" i="7"/>
  <c r="C61" i="7"/>
  <c r="D81" i="7"/>
  <c r="D61" i="7"/>
  <c r="E81" i="7"/>
  <c r="E61" i="7"/>
  <c r="F81" i="7"/>
  <c r="F61" i="7"/>
  <c r="G81" i="7"/>
  <c r="G61" i="7"/>
  <c r="H81" i="7"/>
  <c r="H61" i="7"/>
  <c r="I81" i="7"/>
  <c r="I61" i="7"/>
  <c r="J81" i="7"/>
  <c r="J61" i="7"/>
  <c r="K81" i="7"/>
  <c r="K61" i="7"/>
  <c r="L81" i="7"/>
  <c r="L61" i="7"/>
  <c r="M81" i="7"/>
  <c r="M61" i="7"/>
  <c r="C82" i="7"/>
  <c r="C62" i="7"/>
  <c r="D82" i="7"/>
  <c r="D62" i="7"/>
  <c r="E82" i="7"/>
  <c r="E62" i="7"/>
  <c r="F82" i="7"/>
  <c r="F62" i="7"/>
  <c r="G82" i="7"/>
  <c r="G62" i="7"/>
  <c r="H82" i="7"/>
  <c r="H62" i="7"/>
  <c r="I82" i="7"/>
  <c r="I62" i="7"/>
  <c r="J82" i="7"/>
  <c r="J62" i="7"/>
  <c r="K82" i="7"/>
  <c r="K62" i="7"/>
  <c r="L82" i="7"/>
  <c r="L62" i="7"/>
  <c r="M82" i="7"/>
  <c r="M62" i="7"/>
  <c r="C83" i="7"/>
  <c r="C63" i="7"/>
  <c r="D83" i="7"/>
  <c r="D63" i="7"/>
  <c r="E83" i="7"/>
  <c r="E63" i="7"/>
  <c r="F83" i="7"/>
  <c r="F63" i="7"/>
  <c r="G83" i="7"/>
  <c r="G63" i="7"/>
  <c r="H83" i="7"/>
  <c r="H63" i="7"/>
  <c r="I83" i="7"/>
  <c r="I63" i="7"/>
  <c r="J83" i="7"/>
  <c r="J63" i="7"/>
  <c r="K83" i="7"/>
  <c r="K63" i="7"/>
  <c r="L83" i="7"/>
  <c r="L63" i="7"/>
  <c r="M83" i="7"/>
  <c r="M63" i="7"/>
  <c r="C84" i="7"/>
  <c r="C64" i="7"/>
  <c r="D84" i="7"/>
  <c r="D64" i="7"/>
  <c r="E84" i="7"/>
  <c r="E64" i="7"/>
  <c r="F84" i="7"/>
  <c r="F64" i="7"/>
  <c r="G84" i="7"/>
  <c r="G64" i="7"/>
  <c r="H84" i="7"/>
  <c r="H64" i="7"/>
  <c r="I84" i="7"/>
  <c r="I64" i="7"/>
  <c r="J84" i="7"/>
  <c r="J64" i="7"/>
  <c r="K84" i="7"/>
  <c r="K64" i="7"/>
  <c r="L84" i="7"/>
  <c r="L64" i="7"/>
  <c r="M84" i="7"/>
  <c r="M64" i="7"/>
  <c r="C68" i="6"/>
  <c r="C48" i="6"/>
  <c r="D68" i="6"/>
  <c r="D48" i="6"/>
  <c r="E68" i="6"/>
  <c r="E48" i="6"/>
  <c r="F68" i="6"/>
  <c r="F48" i="6"/>
  <c r="G68" i="6"/>
  <c r="G48" i="6"/>
  <c r="H68" i="6"/>
  <c r="H48" i="6"/>
  <c r="I68" i="6"/>
  <c r="I48" i="6"/>
  <c r="J68" i="6"/>
  <c r="J48" i="6"/>
  <c r="K68" i="6"/>
  <c r="K48" i="6"/>
  <c r="L68" i="6"/>
  <c r="L48" i="6"/>
  <c r="M68" i="6"/>
  <c r="M48" i="6"/>
  <c r="C69" i="6"/>
  <c r="C49" i="6"/>
  <c r="D69" i="6"/>
  <c r="D49" i="6"/>
  <c r="E69" i="6"/>
  <c r="E49" i="6"/>
  <c r="F69" i="6"/>
  <c r="F49" i="6"/>
  <c r="G69" i="6"/>
  <c r="G49" i="6"/>
  <c r="H69" i="6"/>
  <c r="H49" i="6"/>
  <c r="I69" i="6"/>
  <c r="I49" i="6"/>
  <c r="J69" i="6"/>
  <c r="J49" i="6"/>
  <c r="K69" i="6"/>
  <c r="K49" i="6"/>
  <c r="L69" i="6"/>
  <c r="L49" i="6"/>
  <c r="M69" i="6"/>
  <c r="M49" i="6"/>
  <c r="C70" i="6"/>
  <c r="C50" i="6"/>
  <c r="D70" i="6"/>
  <c r="D50" i="6"/>
  <c r="E70" i="6"/>
  <c r="E50" i="6"/>
  <c r="F70" i="6"/>
  <c r="F50" i="6"/>
  <c r="G70" i="6"/>
  <c r="G50" i="6"/>
  <c r="H70" i="6"/>
  <c r="H50" i="6"/>
  <c r="I70" i="6"/>
  <c r="I50" i="6"/>
  <c r="J70" i="6"/>
  <c r="J50" i="6"/>
  <c r="K70" i="6"/>
  <c r="K50" i="6"/>
  <c r="L70" i="6"/>
  <c r="L50" i="6"/>
  <c r="M70" i="6"/>
  <c r="M50" i="6"/>
  <c r="C71" i="6"/>
  <c r="C51" i="6"/>
  <c r="D71" i="6"/>
  <c r="D51" i="6"/>
  <c r="E71" i="6"/>
  <c r="E51" i="6"/>
  <c r="F71" i="6"/>
  <c r="F51" i="6"/>
  <c r="G71" i="6"/>
  <c r="G51" i="6"/>
  <c r="H71" i="6"/>
  <c r="H51" i="6"/>
  <c r="I71" i="6"/>
  <c r="I51" i="6"/>
  <c r="J71" i="6"/>
  <c r="J51" i="6"/>
  <c r="K71" i="6"/>
  <c r="K51" i="6"/>
  <c r="L71" i="6"/>
  <c r="L51" i="6"/>
  <c r="M71" i="6"/>
  <c r="M51" i="6"/>
  <c r="C72" i="6"/>
  <c r="C52" i="6"/>
  <c r="D72" i="6"/>
  <c r="D52" i="6"/>
  <c r="E72" i="6"/>
  <c r="E52" i="6"/>
  <c r="F72" i="6"/>
  <c r="F52" i="6"/>
  <c r="G72" i="6"/>
  <c r="G52" i="6"/>
  <c r="H72" i="6"/>
  <c r="H52" i="6"/>
  <c r="I72" i="6"/>
  <c r="I52" i="6"/>
  <c r="J72" i="6"/>
  <c r="J52" i="6"/>
  <c r="K72" i="6"/>
  <c r="K52" i="6"/>
  <c r="L72" i="6"/>
  <c r="L52" i="6"/>
  <c r="M72" i="6"/>
  <c r="M52" i="6"/>
  <c r="C73" i="6"/>
  <c r="C53" i="6"/>
  <c r="D73" i="6"/>
  <c r="D53" i="6"/>
  <c r="E73" i="6"/>
  <c r="E53" i="6"/>
  <c r="F73" i="6"/>
  <c r="F53" i="6"/>
  <c r="G73" i="6"/>
  <c r="G53" i="6"/>
  <c r="H73" i="6"/>
  <c r="H53" i="6"/>
  <c r="I73" i="6"/>
  <c r="I53" i="6"/>
  <c r="J73" i="6"/>
  <c r="J53" i="6"/>
  <c r="K73" i="6"/>
  <c r="K53" i="6"/>
  <c r="L73" i="6"/>
  <c r="L53" i="6"/>
  <c r="M73" i="6"/>
  <c r="M53" i="6"/>
  <c r="C74" i="6"/>
  <c r="C54" i="6"/>
  <c r="D74" i="6"/>
  <c r="D54" i="6"/>
  <c r="E74" i="6"/>
  <c r="E54" i="6"/>
  <c r="F74" i="6"/>
  <c r="F54" i="6"/>
  <c r="G74" i="6"/>
  <c r="G54" i="6"/>
  <c r="H74" i="6"/>
  <c r="H54" i="6"/>
  <c r="I74" i="6"/>
  <c r="I54" i="6"/>
  <c r="J74" i="6"/>
  <c r="J54" i="6"/>
  <c r="K74" i="6"/>
  <c r="K54" i="6"/>
  <c r="L74" i="6"/>
  <c r="L54" i="6"/>
  <c r="M74" i="6"/>
  <c r="M54" i="6"/>
  <c r="C75" i="6"/>
  <c r="C55" i="6"/>
  <c r="D75" i="6"/>
  <c r="D55" i="6"/>
  <c r="E75" i="6"/>
  <c r="E55" i="6"/>
  <c r="F75" i="6"/>
  <c r="F55" i="6"/>
  <c r="G75" i="6"/>
  <c r="G55" i="6"/>
  <c r="H75" i="6"/>
  <c r="H55" i="6"/>
  <c r="I75" i="6"/>
  <c r="I55" i="6"/>
  <c r="J75" i="6"/>
  <c r="J55" i="6"/>
  <c r="K75" i="6"/>
  <c r="K55" i="6"/>
  <c r="L75" i="6"/>
  <c r="L55" i="6"/>
  <c r="M75" i="6"/>
  <c r="M55" i="6"/>
  <c r="C76" i="6"/>
  <c r="C56" i="6"/>
  <c r="D76" i="6"/>
  <c r="D56" i="6"/>
  <c r="E76" i="6"/>
  <c r="E56" i="6"/>
  <c r="F76" i="6"/>
  <c r="F56" i="6"/>
  <c r="G76" i="6"/>
  <c r="G56" i="6"/>
  <c r="H76" i="6"/>
  <c r="H56" i="6"/>
  <c r="I76" i="6"/>
  <c r="I56" i="6"/>
  <c r="J76" i="6"/>
  <c r="J56" i="6"/>
  <c r="K76" i="6"/>
  <c r="K56" i="6"/>
  <c r="L76" i="6"/>
  <c r="L56" i="6"/>
  <c r="M76" i="6"/>
  <c r="M56" i="6"/>
  <c r="C77" i="6"/>
  <c r="C57" i="6"/>
  <c r="D77" i="6"/>
  <c r="D57" i="6"/>
  <c r="E77" i="6"/>
  <c r="E57" i="6"/>
  <c r="F77" i="6"/>
  <c r="F57" i="6"/>
  <c r="G77" i="6"/>
  <c r="G57" i="6"/>
  <c r="H77" i="6"/>
  <c r="H57" i="6"/>
  <c r="I77" i="6"/>
  <c r="I57" i="6"/>
  <c r="J77" i="6"/>
  <c r="J57" i="6"/>
  <c r="K77" i="6"/>
  <c r="K57" i="6"/>
  <c r="L77" i="6"/>
  <c r="L57" i="6"/>
  <c r="M77" i="6"/>
  <c r="M57" i="6"/>
  <c r="C78" i="6"/>
  <c r="C58" i="6"/>
  <c r="D78" i="6"/>
  <c r="D58" i="6"/>
  <c r="E78" i="6"/>
  <c r="E58" i="6"/>
  <c r="F78" i="6"/>
  <c r="F58" i="6"/>
  <c r="G78" i="6"/>
  <c r="G58" i="6"/>
  <c r="H78" i="6"/>
  <c r="H58" i="6"/>
  <c r="I78" i="6"/>
  <c r="I58" i="6"/>
  <c r="J78" i="6"/>
  <c r="J58" i="6"/>
  <c r="K78" i="6"/>
  <c r="K58" i="6"/>
  <c r="L78" i="6"/>
  <c r="L58" i="6"/>
  <c r="M78" i="6"/>
  <c r="M58" i="6"/>
  <c r="C79" i="6"/>
  <c r="C59" i="6"/>
  <c r="D79" i="6"/>
  <c r="D59" i="6"/>
  <c r="E79" i="6"/>
  <c r="E59" i="6"/>
  <c r="F79" i="6"/>
  <c r="F59" i="6"/>
  <c r="G79" i="6"/>
  <c r="G59" i="6"/>
  <c r="H79" i="6"/>
  <c r="H59" i="6"/>
  <c r="I79" i="6"/>
  <c r="I59" i="6"/>
  <c r="J79" i="6"/>
  <c r="J59" i="6"/>
  <c r="K79" i="6"/>
  <c r="K59" i="6"/>
  <c r="L79" i="6"/>
  <c r="L59" i="6"/>
  <c r="M79" i="6"/>
  <c r="M59" i="6"/>
  <c r="C80" i="6"/>
  <c r="C60" i="6"/>
  <c r="D80" i="6"/>
  <c r="D60" i="6"/>
  <c r="E80" i="6"/>
  <c r="E60" i="6"/>
  <c r="F80" i="6"/>
  <c r="F60" i="6"/>
  <c r="G80" i="6"/>
  <c r="G60" i="6"/>
  <c r="H80" i="6"/>
  <c r="H60" i="6"/>
  <c r="I80" i="6"/>
  <c r="I60" i="6"/>
  <c r="J80" i="6"/>
  <c r="J60" i="6"/>
  <c r="K80" i="6"/>
  <c r="K60" i="6"/>
  <c r="L80" i="6"/>
  <c r="L60" i="6"/>
  <c r="M80" i="6"/>
  <c r="M60" i="6"/>
  <c r="C81" i="6"/>
  <c r="C61" i="6"/>
  <c r="D81" i="6"/>
  <c r="D61" i="6"/>
  <c r="E81" i="6"/>
  <c r="E61" i="6"/>
  <c r="F81" i="6"/>
  <c r="F61" i="6"/>
  <c r="G81" i="6"/>
  <c r="G61" i="6"/>
  <c r="H81" i="6"/>
  <c r="H61" i="6"/>
  <c r="I81" i="6"/>
  <c r="I61" i="6"/>
  <c r="J81" i="6"/>
  <c r="J61" i="6"/>
  <c r="K81" i="6"/>
  <c r="K61" i="6"/>
  <c r="L81" i="6"/>
  <c r="L61" i="6"/>
  <c r="M81" i="6"/>
  <c r="M61" i="6"/>
  <c r="C82" i="6"/>
  <c r="C62" i="6"/>
  <c r="D82" i="6"/>
  <c r="D62" i="6"/>
  <c r="E82" i="6"/>
  <c r="E62" i="6"/>
  <c r="F82" i="6"/>
  <c r="F62" i="6"/>
  <c r="G82" i="6"/>
  <c r="G62" i="6"/>
  <c r="H82" i="6"/>
  <c r="H62" i="6"/>
  <c r="I82" i="6"/>
  <c r="I62" i="6"/>
  <c r="J82" i="6"/>
  <c r="J62" i="6"/>
  <c r="K82" i="6"/>
  <c r="K62" i="6"/>
  <c r="L82" i="6"/>
  <c r="L62" i="6"/>
  <c r="M82" i="6"/>
  <c r="M62" i="6"/>
  <c r="C83" i="6"/>
  <c r="C63" i="6"/>
  <c r="D83" i="6"/>
  <c r="D63" i="6"/>
  <c r="E83" i="6"/>
  <c r="E63" i="6"/>
  <c r="F83" i="6"/>
  <c r="F63" i="6"/>
  <c r="G83" i="6"/>
  <c r="G63" i="6"/>
  <c r="H83" i="6"/>
  <c r="H63" i="6"/>
  <c r="I83" i="6"/>
  <c r="I63" i="6"/>
  <c r="J83" i="6"/>
  <c r="J63" i="6"/>
  <c r="K83" i="6"/>
  <c r="K63" i="6"/>
  <c r="L83" i="6"/>
  <c r="L63" i="6"/>
  <c r="M83" i="6"/>
  <c r="M63" i="6"/>
  <c r="C84" i="6"/>
  <c r="C64" i="6"/>
  <c r="D84" i="6"/>
  <c r="D64" i="6"/>
  <c r="E84" i="6"/>
  <c r="E64" i="6"/>
  <c r="F84" i="6"/>
  <c r="F64" i="6"/>
  <c r="G84" i="6"/>
  <c r="G64" i="6"/>
  <c r="H84" i="6"/>
  <c r="H64" i="6"/>
  <c r="I84" i="6"/>
  <c r="I64" i="6"/>
  <c r="J84" i="6"/>
  <c r="J64" i="6"/>
  <c r="K84" i="6"/>
  <c r="K64" i="6"/>
  <c r="L84" i="6"/>
  <c r="L64" i="6"/>
  <c r="M84" i="6"/>
  <c r="M64" i="6"/>
  <c r="O64" i="7" l="1"/>
  <c r="D133" i="7" s="1"/>
  <c r="G133" i="7" s="1"/>
  <c r="O84" i="7"/>
  <c r="J133" i="7" s="1"/>
  <c r="M133" i="7" s="1"/>
  <c r="O63" i="7"/>
  <c r="D132" i="7" s="1"/>
  <c r="G132" i="7" s="1"/>
  <c r="O83" i="7"/>
  <c r="J132" i="7" s="1"/>
  <c r="M132" i="7" s="1"/>
  <c r="O62" i="7"/>
  <c r="D131" i="7" s="1"/>
  <c r="G131" i="7" s="1"/>
  <c r="O82" i="7"/>
  <c r="J131" i="7" s="1"/>
  <c r="M131" i="7" s="1"/>
  <c r="O61" i="7"/>
  <c r="D102" i="7" s="1"/>
  <c r="D130" i="7" s="1"/>
  <c r="G130" i="7" s="1"/>
  <c r="O81" i="7"/>
  <c r="I102" i="7" s="1"/>
  <c r="J130" i="7" s="1"/>
  <c r="M130" i="7" s="1"/>
  <c r="D150" i="7" s="1"/>
  <c r="O60" i="7"/>
  <c r="D101" i="7" s="1"/>
  <c r="D129" i="7" s="1"/>
  <c r="G129" i="7" s="1"/>
  <c r="O80" i="7"/>
  <c r="I101" i="7" s="1"/>
  <c r="J129" i="7" s="1"/>
  <c r="M129" i="7" s="1"/>
  <c r="D149" i="7" s="1"/>
  <c r="O59" i="7"/>
  <c r="D100" i="7" s="1"/>
  <c r="D128" i="7" s="1"/>
  <c r="G128" i="7" s="1"/>
  <c r="O79" i="7"/>
  <c r="I100" i="7" s="1"/>
  <c r="J128" i="7" s="1"/>
  <c r="M128" i="7" s="1"/>
  <c r="D148" i="7" s="1"/>
  <c r="O58" i="7"/>
  <c r="D99" i="7" s="1"/>
  <c r="D127" i="7" s="1"/>
  <c r="G127" i="7" s="1"/>
  <c r="O78" i="7"/>
  <c r="I99" i="7" s="1"/>
  <c r="J127" i="7" s="1"/>
  <c r="M127" i="7" s="1"/>
  <c r="D147" i="7" s="1"/>
  <c r="O57" i="7"/>
  <c r="D98" i="7" s="1"/>
  <c r="D126" i="7" s="1"/>
  <c r="G126" i="7" s="1"/>
  <c r="O77" i="7"/>
  <c r="I98" i="7" s="1"/>
  <c r="J126" i="7" s="1"/>
  <c r="M126" i="7" s="1"/>
  <c r="D146" i="7" s="1"/>
  <c r="O56" i="7"/>
  <c r="D97" i="7" s="1"/>
  <c r="D125" i="7" s="1"/>
  <c r="G125" i="7" s="1"/>
  <c r="O76" i="7"/>
  <c r="I97" i="7" s="1"/>
  <c r="J125" i="7" s="1"/>
  <c r="M125" i="7" s="1"/>
  <c r="D145" i="7" s="1"/>
  <c r="O55" i="7"/>
  <c r="D96" i="7" s="1"/>
  <c r="D124" i="7" s="1"/>
  <c r="G124" i="7" s="1"/>
  <c r="O75" i="7"/>
  <c r="I96" i="7" s="1"/>
  <c r="J124" i="7" s="1"/>
  <c r="M124" i="7" s="1"/>
  <c r="D144" i="7" s="1"/>
  <c r="O54" i="7"/>
  <c r="D95" i="7" s="1"/>
  <c r="D123" i="7" s="1"/>
  <c r="G123" i="7" s="1"/>
  <c r="O74" i="7"/>
  <c r="I95" i="7" s="1"/>
  <c r="J123" i="7" s="1"/>
  <c r="M123" i="7" s="1"/>
  <c r="D143" i="7" s="1"/>
  <c r="O53" i="7"/>
  <c r="D94" i="7" s="1"/>
  <c r="D122" i="7" s="1"/>
  <c r="G122" i="7" s="1"/>
  <c r="O73" i="7"/>
  <c r="I94" i="7" s="1"/>
  <c r="J122" i="7" s="1"/>
  <c r="M122" i="7" s="1"/>
  <c r="D142" i="7" s="1"/>
  <c r="O52" i="7"/>
  <c r="D93" i="7" s="1"/>
  <c r="D121" i="7" s="1"/>
  <c r="G121" i="7" s="1"/>
  <c r="O72" i="7"/>
  <c r="I93" i="7" s="1"/>
  <c r="J121" i="7" s="1"/>
  <c r="M121" i="7" s="1"/>
  <c r="D141" i="7" s="1"/>
  <c r="O51" i="7"/>
  <c r="D92" i="7" s="1"/>
  <c r="D120" i="7" s="1"/>
  <c r="G120" i="7" s="1"/>
  <c r="O71" i="7"/>
  <c r="I92" i="7" s="1"/>
  <c r="J120" i="7" s="1"/>
  <c r="M120" i="7" s="1"/>
  <c r="D140" i="7" s="1"/>
  <c r="O50" i="7"/>
  <c r="D91" i="7" s="1"/>
  <c r="D119" i="7" s="1"/>
  <c r="G119" i="7" s="1"/>
  <c r="O70" i="7"/>
  <c r="I91" i="7" s="1"/>
  <c r="J119" i="7" s="1"/>
  <c r="M119" i="7" s="1"/>
  <c r="D139" i="7" s="1"/>
  <c r="O49" i="7"/>
  <c r="D90" i="7" s="1"/>
  <c r="D118" i="7" s="1"/>
  <c r="G118" i="7" s="1"/>
  <c r="O69" i="7"/>
  <c r="I90" i="7" s="1"/>
  <c r="J118" i="7" s="1"/>
  <c r="M118" i="7" s="1"/>
  <c r="D138" i="7" s="1"/>
  <c r="O48" i="7"/>
  <c r="D89" i="7" s="1"/>
  <c r="D117" i="7" s="1"/>
  <c r="G117" i="7" s="1"/>
  <c r="O68" i="7"/>
  <c r="I89" i="7" s="1"/>
  <c r="J117" i="7" s="1"/>
  <c r="M117" i="7" s="1"/>
  <c r="D137" i="7" s="1"/>
  <c r="O64" i="6"/>
  <c r="D105" i="6" s="1"/>
  <c r="D133" i="6" s="1"/>
  <c r="G133" i="6" s="1"/>
  <c r="O84" i="6"/>
  <c r="I105" i="6" s="1"/>
  <c r="J133" i="6" s="1"/>
  <c r="M133" i="6" s="1"/>
  <c r="D153" i="6" s="1"/>
  <c r="O63" i="6"/>
  <c r="D104" i="6" s="1"/>
  <c r="D132" i="6" s="1"/>
  <c r="G132" i="6" s="1"/>
  <c r="O83" i="6"/>
  <c r="I104" i="6" s="1"/>
  <c r="J132" i="6" s="1"/>
  <c r="M132" i="6" s="1"/>
  <c r="D152" i="6" s="1"/>
  <c r="O62" i="6"/>
  <c r="D103" i="6" s="1"/>
  <c r="D131" i="6" s="1"/>
  <c r="G131" i="6" s="1"/>
  <c r="O82" i="6"/>
  <c r="I103" i="6" s="1"/>
  <c r="J131" i="6" s="1"/>
  <c r="M131" i="6" s="1"/>
  <c r="D151" i="6" s="1"/>
  <c r="O61" i="6"/>
  <c r="D102" i="6" s="1"/>
  <c r="D130" i="6" s="1"/>
  <c r="G130" i="6" s="1"/>
  <c r="O81" i="6"/>
  <c r="I102" i="6" s="1"/>
  <c r="J130" i="6" s="1"/>
  <c r="M130" i="6" s="1"/>
  <c r="D150" i="6" s="1"/>
  <c r="O60" i="6"/>
  <c r="D101" i="6" s="1"/>
  <c r="D129" i="6" s="1"/>
  <c r="G129" i="6" s="1"/>
  <c r="O80" i="6"/>
  <c r="I101" i="6" s="1"/>
  <c r="J129" i="6" s="1"/>
  <c r="M129" i="6" s="1"/>
  <c r="D149" i="6" s="1"/>
  <c r="O59" i="6"/>
  <c r="D100" i="6" s="1"/>
  <c r="D128" i="6" s="1"/>
  <c r="G128" i="6" s="1"/>
  <c r="O79" i="6"/>
  <c r="I100" i="6" s="1"/>
  <c r="J128" i="6" s="1"/>
  <c r="M128" i="6" s="1"/>
  <c r="D148" i="6" s="1"/>
  <c r="O58" i="6"/>
  <c r="D99" i="6" s="1"/>
  <c r="D127" i="6" s="1"/>
  <c r="G127" i="6" s="1"/>
  <c r="O78" i="6"/>
  <c r="I99" i="6" s="1"/>
  <c r="J127" i="6" s="1"/>
  <c r="M127" i="6" s="1"/>
  <c r="D147" i="6" s="1"/>
  <c r="O57" i="6"/>
  <c r="D98" i="6" s="1"/>
  <c r="D126" i="6" s="1"/>
  <c r="G126" i="6" s="1"/>
  <c r="O77" i="6"/>
  <c r="I98" i="6" s="1"/>
  <c r="J126" i="6" s="1"/>
  <c r="M126" i="6" s="1"/>
  <c r="D146" i="6" s="1"/>
  <c r="O56" i="6"/>
  <c r="D97" i="6" s="1"/>
  <c r="D125" i="6" s="1"/>
  <c r="G125" i="6" s="1"/>
  <c r="O76" i="6"/>
  <c r="I97" i="6" s="1"/>
  <c r="J125" i="6" s="1"/>
  <c r="M125" i="6" s="1"/>
  <c r="D145" i="6" s="1"/>
  <c r="O55" i="6"/>
  <c r="D96" i="6" s="1"/>
  <c r="D124" i="6" s="1"/>
  <c r="G124" i="6" s="1"/>
  <c r="O75" i="6"/>
  <c r="I96" i="6" s="1"/>
  <c r="J124" i="6" s="1"/>
  <c r="M124" i="6" s="1"/>
  <c r="D144" i="6" s="1"/>
  <c r="O54" i="6"/>
  <c r="D95" i="6" s="1"/>
  <c r="D123" i="6" s="1"/>
  <c r="G123" i="6" s="1"/>
  <c r="O74" i="6"/>
  <c r="I95" i="6" s="1"/>
  <c r="J123" i="6" s="1"/>
  <c r="M123" i="6" s="1"/>
  <c r="D143" i="6" s="1"/>
  <c r="O53" i="6"/>
  <c r="D94" i="6" s="1"/>
  <c r="D122" i="6" s="1"/>
  <c r="G122" i="6" s="1"/>
  <c r="O73" i="6"/>
  <c r="I94" i="6" s="1"/>
  <c r="J122" i="6" s="1"/>
  <c r="M122" i="6" s="1"/>
  <c r="D142" i="6" s="1"/>
  <c r="O52" i="6"/>
  <c r="D93" i="6" s="1"/>
  <c r="D121" i="6" s="1"/>
  <c r="G121" i="6" s="1"/>
  <c r="O72" i="6"/>
  <c r="I93" i="6" s="1"/>
  <c r="J121" i="6" s="1"/>
  <c r="M121" i="6" s="1"/>
  <c r="D141" i="6" s="1"/>
  <c r="O51" i="6"/>
  <c r="D92" i="6" s="1"/>
  <c r="D120" i="6" s="1"/>
  <c r="G120" i="6" s="1"/>
  <c r="O71" i="6"/>
  <c r="I92" i="6" s="1"/>
  <c r="M120" i="6" s="1"/>
  <c r="D140" i="6" s="1"/>
  <c r="O50" i="6"/>
  <c r="D91" i="6" s="1"/>
  <c r="G119" i="6" s="1"/>
  <c r="O70" i="6"/>
  <c r="I91" i="6" s="1"/>
  <c r="M119" i="6" s="1"/>
  <c r="D139" i="6" s="1"/>
  <c r="O49" i="6"/>
  <c r="D90" i="6" s="1"/>
  <c r="D118" i="6" s="1"/>
  <c r="G118" i="6" s="1"/>
  <c r="O69" i="6"/>
  <c r="I90" i="6" s="1"/>
  <c r="J118" i="6" s="1"/>
  <c r="M118" i="6" s="1"/>
  <c r="D138" i="6" s="1"/>
  <c r="O48" i="6"/>
  <c r="D89" i="6" s="1"/>
  <c r="D117" i="6" s="1"/>
  <c r="G117" i="6" s="1"/>
  <c r="O68" i="6"/>
  <c r="J117" i="6" s="1"/>
  <c r="M117" i="6" s="1"/>
  <c r="D137" i="6" s="1"/>
  <c r="C137" i="7" l="1"/>
  <c r="E137" i="7" s="1"/>
  <c r="G137" i="7" s="1"/>
  <c r="O117" i="7"/>
  <c r="C138" i="7"/>
  <c r="E138" i="7" s="1"/>
  <c r="G138" i="7" s="1"/>
  <c r="O118" i="7"/>
  <c r="C139" i="7"/>
  <c r="E139" i="7" s="1"/>
  <c r="G139" i="7" s="1"/>
  <c r="O119" i="7"/>
  <c r="C140" i="7"/>
  <c r="E140" i="7" s="1"/>
  <c r="G140" i="7" s="1"/>
  <c r="O120" i="7"/>
  <c r="C141" i="7"/>
  <c r="E141" i="7" s="1"/>
  <c r="G141" i="7" s="1"/>
  <c r="O121" i="7"/>
  <c r="C142" i="7"/>
  <c r="E142" i="7" s="1"/>
  <c r="G142" i="7" s="1"/>
  <c r="O122" i="7"/>
  <c r="C143" i="7"/>
  <c r="E143" i="7" s="1"/>
  <c r="G143" i="7" s="1"/>
  <c r="O123" i="7"/>
  <c r="C144" i="7"/>
  <c r="E144" i="7" s="1"/>
  <c r="G144" i="7" s="1"/>
  <c r="O124" i="7"/>
  <c r="C145" i="7"/>
  <c r="E145" i="7" s="1"/>
  <c r="G145" i="7" s="1"/>
  <c r="O125" i="7"/>
  <c r="C146" i="7"/>
  <c r="E146" i="7" s="1"/>
  <c r="G146" i="7" s="1"/>
  <c r="O126" i="7"/>
  <c r="C147" i="7"/>
  <c r="E147" i="7" s="1"/>
  <c r="G147" i="7" s="1"/>
  <c r="O127" i="7"/>
  <c r="C148" i="7"/>
  <c r="E148" i="7" s="1"/>
  <c r="G148" i="7" s="1"/>
  <c r="O128" i="7"/>
  <c r="C149" i="7"/>
  <c r="E149" i="7" s="1"/>
  <c r="G149" i="7" s="1"/>
  <c r="O129" i="7"/>
  <c r="C150" i="7"/>
  <c r="E150" i="7" s="1"/>
  <c r="G150" i="7" s="1"/>
  <c r="O130" i="7"/>
  <c r="O131" i="7"/>
  <c r="O132" i="7"/>
  <c r="O133" i="7"/>
  <c r="C137" i="6"/>
  <c r="E137" i="6" s="1"/>
  <c r="G137" i="6" s="1"/>
  <c r="O117" i="6"/>
  <c r="C138" i="6"/>
  <c r="E138" i="6" s="1"/>
  <c r="G138" i="6" s="1"/>
  <c r="O118" i="6"/>
  <c r="C139" i="6"/>
  <c r="E139" i="6" s="1"/>
  <c r="G139" i="6" s="1"/>
  <c r="O119" i="6"/>
  <c r="C140" i="6"/>
  <c r="E140" i="6" s="1"/>
  <c r="G140" i="6" s="1"/>
  <c r="O120" i="6"/>
  <c r="C141" i="6"/>
  <c r="E141" i="6" s="1"/>
  <c r="G141" i="6" s="1"/>
  <c r="O121" i="6"/>
  <c r="C142" i="6"/>
  <c r="E142" i="6" s="1"/>
  <c r="G142" i="6" s="1"/>
  <c r="O122" i="6"/>
  <c r="C143" i="6"/>
  <c r="E143" i="6" s="1"/>
  <c r="G143" i="6" s="1"/>
  <c r="O123" i="6"/>
  <c r="C144" i="6"/>
  <c r="E144" i="6" s="1"/>
  <c r="G144" i="6" s="1"/>
  <c r="O124" i="6"/>
  <c r="C145" i="6"/>
  <c r="E145" i="6" s="1"/>
  <c r="G145" i="6" s="1"/>
  <c r="O125" i="6"/>
  <c r="C146" i="6"/>
  <c r="E146" i="6" s="1"/>
  <c r="G146" i="6" s="1"/>
  <c r="O126" i="6"/>
  <c r="C147" i="6"/>
  <c r="E147" i="6" s="1"/>
  <c r="G147" i="6" s="1"/>
  <c r="O127" i="6"/>
  <c r="C148" i="6"/>
  <c r="E148" i="6" s="1"/>
  <c r="G148" i="6" s="1"/>
  <c r="O128" i="6"/>
  <c r="C149" i="6"/>
  <c r="E149" i="6" s="1"/>
  <c r="G149" i="6" s="1"/>
  <c r="O129" i="6"/>
  <c r="C150" i="6"/>
  <c r="E150" i="6" s="1"/>
  <c r="G150" i="6" s="1"/>
  <c r="O130" i="6"/>
  <c r="C151" i="6"/>
  <c r="E151" i="6" s="1"/>
  <c r="G151" i="6" s="1"/>
  <c r="O131" i="6"/>
  <c r="C152" i="6"/>
  <c r="E152" i="6" s="1"/>
  <c r="G152" i="6" s="1"/>
  <c r="O132" i="6"/>
  <c r="C153" i="6"/>
  <c r="E153" i="6" s="1"/>
  <c r="G153" i="6" s="1"/>
  <c r="O133" i="6"/>
  <c r="C160" i="6" l="1"/>
  <c r="C160" i="7"/>
  <c r="H137" i="7"/>
  <c r="F182" i="7" s="1"/>
  <c r="C161" i="6"/>
  <c r="H137" i="6"/>
  <c r="F182" i="6" s="1"/>
  <c r="F196" i="7" l="1"/>
  <c r="H150" i="7"/>
  <c r="F195" i="7" s="1"/>
  <c r="H149" i="7"/>
  <c r="F194" i="7" s="1"/>
  <c r="H148" i="7"/>
  <c r="F193" i="7" s="1"/>
  <c r="H147" i="7"/>
  <c r="F192" i="7" s="1"/>
  <c r="H146" i="7"/>
  <c r="F191" i="7" s="1"/>
  <c r="H145" i="7"/>
  <c r="F190" i="7" s="1"/>
  <c r="H144" i="7"/>
  <c r="F189" i="7" s="1"/>
  <c r="H143" i="7"/>
  <c r="F188" i="7" s="1"/>
  <c r="H142" i="7"/>
  <c r="F187" i="7" s="1"/>
  <c r="H141" i="7"/>
  <c r="F186" i="7" s="1"/>
  <c r="H140" i="7"/>
  <c r="F185" i="7" s="1"/>
  <c r="H139" i="7"/>
  <c r="F184" i="7" s="1"/>
  <c r="H138" i="7"/>
  <c r="F183" i="7" s="1"/>
  <c r="H153" i="6"/>
  <c r="F198" i="6" s="1"/>
  <c r="H152" i="6"/>
  <c r="F197" i="6" s="1"/>
  <c r="H151" i="6"/>
  <c r="F196" i="6" s="1"/>
  <c r="H150" i="6"/>
  <c r="F195" i="6" s="1"/>
  <c r="H149" i="6"/>
  <c r="F194" i="6" s="1"/>
  <c r="H148" i="6"/>
  <c r="F193" i="6" s="1"/>
  <c r="H147" i="6"/>
  <c r="F192" i="6" s="1"/>
  <c r="H146" i="6"/>
  <c r="F191" i="6" s="1"/>
  <c r="H145" i="6"/>
  <c r="F190" i="6" s="1"/>
  <c r="H144" i="6"/>
  <c r="F189" i="6" s="1"/>
  <c r="H143" i="6"/>
  <c r="F188" i="6" s="1"/>
  <c r="H142" i="6"/>
  <c r="F187" i="6" s="1"/>
  <c r="H141" i="6"/>
  <c r="F186" i="6" s="1"/>
  <c r="H140" i="6"/>
  <c r="F185" i="6" s="1"/>
  <c r="H139" i="6"/>
  <c r="F184" i="6" s="1"/>
  <c r="H138" i="6"/>
  <c r="F183" i="6" s="1"/>
</calcChain>
</file>

<file path=xl/sharedStrings.xml><?xml version="1.0" encoding="utf-8"?>
<sst xmlns="http://schemas.openxmlformats.org/spreadsheetml/2006/main" count="598" uniqueCount="105">
  <si>
    <t>Player Value vs Salary for GSW Players in 2021-22 Season</t>
  </si>
  <si>
    <t>Player</t>
  </si>
  <si>
    <t>Real Salary</t>
  </si>
  <si>
    <t>Position</t>
  </si>
  <si>
    <t>Adj. Regular Season MRP</t>
  </si>
  <si>
    <t>Adj. Playoffs Season MRP</t>
  </si>
  <si>
    <t>Overpaid (Underpaid)</t>
  </si>
  <si>
    <t>Player Value</t>
  </si>
  <si>
    <t>Andrew Wiggins</t>
  </si>
  <si>
    <t>F</t>
  </si>
  <si>
    <t>Draymond Green</t>
  </si>
  <si>
    <t>Jonathan Kuminga</t>
  </si>
  <si>
    <t>Juan Toscano-Anderson</t>
  </si>
  <si>
    <t>Damion Lee</t>
  </si>
  <si>
    <t>G</t>
  </si>
  <si>
    <t>Gary Payton II</t>
  </si>
  <si>
    <t>Klay Thompson</t>
  </si>
  <si>
    <t>Kevon Looney</t>
  </si>
  <si>
    <t>PF</t>
  </si>
  <si>
    <t>Nemanja Bjelica</t>
  </si>
  <si>
    <t>Stephen Curry</t>
  </si>
  <si>
    <t>PG</t>
  </si>
  <si>
    <t>Chris Chiozza</t>
  </si>
  <si>
    <t>Jeff Dowtin</t>
  </si>
  <si>
    <t>Otto Porter Jr.</t>
  </si>
  <si>
    <t>SF</t>
  </si>
  <si>
    <t>Andre Iguodala</t>
  </si>
  <si>
    <t>Jordan Poole</t>
  </si>
  <si>
    <t>SG</t>
  </si>
  <si>
    <t>Moses Moody</t>
  </si>
  <si>
    <t>Quinndary Weatherspoon</t>
  </si>
  <si>
    <t>Raw Player Data Per 36 Minutes</t>
  </si>
  <si>
    <t>GS</t>
  </si>
  <si>
    <t>3PA</t>
  </si>
  <si>
    <t>2PA</t>
  </si>
  <si>
    <t>FTA</t>
  </si>
  <si>
    <t>TRB</t>
  </si>
  <si>
    <t>AST</t>
  </si>
  <si>
    <t>STL</t>
  </si>
  <si>
    <t>BLK</t>
  </si>
  <si>
    <t>TOV</t>
  </si>
  <si>
    <t>PTS</t>
  </si>
  <si>
    <t>Coefficients</t>
  </si>
  <si>
    <t>(GS/G)^2</t>
  </si>
  <si>
    <t>PTS/36</t>
  </si>
  <si>
    <t>TRB/36</t>
  </si>
  <si>
    <t>AST/36</t>
  </si>
  <si>
    <t>STL/36</t>
  </si>
  <si>
    <t>BLK/36</t>
  </si>
  <si>
    <t>TOV/36</t>
  </si>
  <si>
    <t>PF/36</t>
  </si>
  <si>
    <t>FTA/36</t>
  </si>
  <si>
    <t>2PA/36</t>
  </si>
  <si>
    <t>3PA/36</t>
  </si>
  <si>
    <t>Intercept</t>
  </si>
  <si>
    <t>OPI Box</t>
  </si>
  <si>
    <t>DPI Box</t>
  </si>
  <si>
    <t>Sorted Player Data Per 36 Minutes</t>
  </si>
  <si>
    <t>O-PIPM Box</t>
  </si>
  <si>
    <t>O-PIPM Box Measures</t>
  </si>
  <si>
    <t>D-PIPM Box</t>
  </si>
  <si>
    <t>D-PIPM Box Total</t>
  </si>
  <si>
    <t>PIPM Stat</t>
  </si>
  <si>
    <t>O-On/Off</t>
  </si>
  <si>
    <t>O-Box</t>
  </si>
  <si>
    <t>Ortg</t>
  </si>
  <si>
    <t>O-On court</t>
  </si>
  <si>
    <t>Constant</t>
  </si>
  <si>
    <t>D-On/Off</t>
  </si>
  <si>
    <t>D-Box</t>
  </si>
  <si>
    <t>Drtg</t>
  </si>
  <si>
    <t>D-On court</t>
  </si>
  <si>
    <t>League Average of ORTG</t>
  </si>
  <si>
    <t>League Average of DRTG</t>
  </si>
  <si>
    <t>Values</t>
  </si>
  <si>
    <t>Stat x Coefficient</t>
  </si>
  <si>
    <t>Total O-PIPM</t>
  </si>
  <si>
    <t>Total D-PIPM</t>
  </si>
  <si>
    <t>Total PIPM</t>
  </si>
  <si>
    <t>Player Wins</t>
  </si>
  <si>
    <t>Win %</t>
  </si>
  <si>
    <t>Minutes Played</t>
  </si>
  <si>
    <t>Wins Above Replacement</t>
  </si>
  <si>
    <t>Adjusted Wins Above Replacement</t>
  </si>
  <si>
    <t>E</t>
  </si>
  <si>
    <t>Average Replacement Player</t>
  </si>
  <si>
    <t># of Games Won</t>
  </si>
  <si>
    <t>Total Wins Above Replacement</t>
  </si>
  <si>
    <t>PIPM Scale Factor</t>
  </si>
  <si>
    <t>Inflation Factor from 2011 to 2022</t>
  </si>
  <si>
    <t>Year</t>
  </si>
  <si>
    <t>CPI</t>
  </si>
  <si>
    <t>Annual Inflation Rate (Percentage)</t>
  </si>
  <si>
    <t>Inflation Factor (based in 2011)</t>
  </si>
  <si>
    <t>Player Value vs Salary</t>
  </si>
  <si>
    <t>Player MRP</t>
  </si>
  <si>
    <t>Adjusted Player MRP</t>
  </si>
  <si>
    <t>Difference Overpaid (Underpaid)</t>
  </si>
  <si>
    <t>Coefficents</t>
  </si>
  <si>
    <t>2011 Berri et Al</t>
  </si>
  <si>
    <t>NBA Minimum Salary for the 2022 Season</t>
  </si>
  <si>
    <t>Wins</t>
  </si>
  <si>
    <t>Wins, Lagged</t>
  </si>
  <si>
    <t>Inflation Factor</t>
  </si>
  <si>
    <t>Discount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</si>
</sst>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&quot;$&quot;* #,##0.00_-;\-&quot;$&quot;* #,##0.00_-;_-&quot;$&quot;* &quot;-&quot;??_-;_-@_-"/>
    <numFmt numFmtId="165" formatCode="0.000"/>
    <numFmt numFmtId="166" formatCode="_([$$-409]* #,##0.00_);_([$$-409]* \(#,##0.00\);_([$$-409]* &quot;-&quot;??_);_(@_)"/>
    <numFmt numFmtId="167" formatCode="0.0"/>
  </numFmts>
  <fonts count="2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0000"/>
      <name val="Aptos Narrow"/>
      <family val="2"/>
    </font>
    <font>
      <b/>
      <sz val="8.6"/>
      <color rgb="FF000000"/>
      <name val="Verdana"/>
      <family val="2"/>
    </font>
    <font>
      <sz val="8.6"/>
      <color rgb="FF000000"/>
      <name val="Verdana"/>
      <family val="2"/>
    </font>
    <font>
      <sz val="11"/>
      <color rgb="FF000000"/>
      <name val="Aptos Narrow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4D74BD"/>
        <bgColor indexed="64"/>
      </patternFill>
    </fill>
    <fill>
      <patternFill patternType="solid">
        <fgColor rgb="FFF9FFD4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/>
      <bottom/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164" fontId="1" fillId="0" borderId="0" applyFont="0" applyFill="0" applyBorder="0" applyAlignment="0" applyProtection="0"/>
    <xf numFmtId="0" fontId="18" fillId="0" borderId="0" applyNumberFormat="0" applyFill="0" applyBorder="0" applyAlignment="0" applyProtection="0"/>
  </cellStyleXfs>
  <cellXfs count="78">
    <xf numFmtId="0" fontId="0" fillId="0" borderId="0" xfId="0"/>
    <xf numFmtId="0" fontId="0" fillId="33" borderId="0" xfId="0" applyFill="1"/>
    <xf numFmtId="165" fontId="0" fillId="33" borderId="0" xfId="0" applyNumberFormat="1" applyFill="1"/>
    <xf numFmtId="2" fontId="0" fillId="33" borderId="0" xfId="0" applyNumberFormat="1" applyFill="1"/>
    <xf numFmtId="0" fontId="19" fillId="33" borderId="0" xfId="0" applyFont="1" applyFill="1"/>
    <xf numFmtId="0" fontId="0" fillId="33" borderId="0" xfId="0" applyFill="1" applyAlignment="1">
      <alignment horizontal="left"/>
    </xf>
    <xf numFmtId="164" fontId="0" fillId="33" borderId="0" xfId="42" applyFont="1" applyFill="1" applyBorder="1"/>
    <xf numFmtId="6" fontId="21" fillId="33" borderId="0" xfId="0" applyNumberFormat="1" applyFont="1" applyFill="1"/>
    <xf numFmtId="0" fontId="20" fillId="33" borderId="0" xfId="0" applyFont="1" applyFill="1"/>
    <xf numFmtId="0" fontId="21" fillId="33" borderId="0" xfId="0" applyFont="1" applyFill="1"/>
    <xf numFmtId="0" fontId="18" fillId="33" borderId="0" xfId="43" applyFill="1" applyBorder="1"/>
    <xf numFmtId="0" fontId="18" fillId="33" borderId="0" xfId="43" applyFill="1"/>
    <xf numFmtId="0" fontId="17" fillId="34" borderId="0" xfId="0" applyFont="1" applyFill="1"/>
    <xf numFmtId="0" fontId="17" fillId="34" borderId="10" xfId="0" applyFont="1" applyFill="1" applyBorder="1"/>
    <xf numFmtId="0" fontId="4" fillId="0" borderId="2" xfId="3" applyFill="1"/>
    <xf numFmtId="0" fontId="0" fillId="33" borderId="16" xfId="0" applyFill="1" applyBorder="1"/>
    <xf numFmtId="165" fontId="0" fillId="33" borderId="16" xfId="0" applyNumberFormat="1" applyFill="1" applyBorder="1"/>
    <xf numFmtId="0" fontId="0" fillId="35" borderId="17" xfId="0" applyFill="1" applyBorder="1"/>
    <xf numFmtId="0" fontId="0" fillId="35" borderId="18" xfId="0" applyFill="1" applyBorder="1"/>
    <xf numFmtId="0" fontId="0" fillId="33" borderId="19" xfId="0" applyFill="1" applyBorder="1"/>
    <xf numFmtId="0" fontId="0" fillId="33" borderId="16" xfId="0" applyFill="1" applyBorder="1" applyAlignment="1">
      <alignment horizontal="left"/>
    </xf>
    <xf numFmtId="165" fontId="0" fillId="36" borderId="16" xfId="0" applyNumberFormat="1" applyFill="1" applyBorder="1"/>
    <xf numFmtId="165" fontId="0" fillId="37" borderId="16" xfId="0" applyNumberFormat="1" applyFill="1" applyBorder="1"/>
    <xf numFmtId="0" fontId="0" fillId="37" borderId="12" xfId="0" applyFill="1" applyBorder="1"/>
    <xf numFmtId="0" fontId="0" fillId="37" borderId="10" xfId="0" applyFill="1" applyBorder="1"/>
    <xf numFmtId="2" fontId="0" fillId="37" borderId="10" xfId="0" applyNumberFormat="1" applyFill="1" applyBorder="1"/>
    <xf numFmtId="2" fontId="0" fillId="37" borderId="15" xfId="0" applyNumberFormat="1" applyFill="1" applyBorder="1"/>
    <xf numFmtId="0" fontId="0" fillId="37" borderId="16" xfId="0" applyFill="1" applyBorder="1"/>
    <xf numFmtId="0" fontId="0" fillId="37" borderId="15" xfId="0" applyFill="1" applyBorder="1"/>
    <xf numFmtId="0" fontId="0" fillId="37" borderId="14" xfId="0" applyFill="1" applyBorder="1"/>
    <xf numFmtId="0" fontId="0" fillId="37" borderId="11" xfId="0" applyFill="1" applyBorder="1"/>
    <xf numFmtId="0" fontId="0" fillId="37" borderId="13" xfId="0" applyFill="1" applyBorder="1"/>
    <xf numFmtId="2" fontId="0" fillId="33" borderId="16" xfId="0" applyNumberFormat="1" applyFill="1" applyBorder="1"/>
    <xf numFmtId="165" fontId="0" fillId="37" borderId="0" xfId="0" applyNumberFormat="1" applyFill="1"/>
    <xf numFmtId="0" fontId="0" fillId="37" borderId="0" xfId="0" applyFill="1"/>
    <xf numFmtId="166" fontId="0" fillId="33" borderId="0" xfId="0" applyNumberFormat="1" applyFill="1"/>
    <xf numFmtId="2" fontId="0" fillId="37" borderId="12" xfId="0" applyNumberFormat="1" applyFill="1" applyBorder="1"/>
    <xf numFmtId="2" fontId="0" fillId="35" borderId="17" xfId="0" applyNumberFormat="1" applyFill="1" applyBorder="1"/>
    <xf numFmtId="2" fontId="0" fillId="35" borderId="18" xfId="0" applyNumberFormat="1" applyFill="1" applyBorder="1"/>
    <xf numFmtId="44" fontId="22" fillId="33" borderId="0" xfId="0" applyNumberFormat="1" applyFont="1" applyFill="1"/>
    <xf numFmtId="44" fontId="22" fillId="33" borderId="16" xfId="0" applyNumberFormat="1" applyFont="1" applyFill="1" applyBorder="1"/>
    <xf numFmtId="1" fontId="0" fillId="35" borderId="17" xfId="0" applyNumberFormat="1" applyFill="1" applyBorder="1"/>
    <xf numFmtId="1" fontId="0" fillId="35" borderId="18" xfId="0" applyNumberFormat="1" applyFill="1" applyBorder="1"/>
    <xf numFmtId="165" fontId="0" fillId="36" borderId="0" xfId="0" applyNumberFormat="1" applyFill="1"/>
    <xf numFmtId="43" fontId="0" fillId="35" borderId="17" xfId="0" applyNumberFormat="1" applyFill="1" applyBorder="1"/>
    <xf numFmtId="43" fontId="0" fillId="35" borderId="18" xfId="0" applyNumberFormat="1" applyFill="1" applyBorder="1"/>
    <xf numFmtId="43" fontId="0" fillId="33" borderId="0" xfId="0" applyNumberFormat="1" applyFill="1"/>
    <xf numFmtId="43" fontId="0" fillId="33" borderId="16" xfId="0" applyNumberFormat="1" applyFill="1" applyBorder="1"/>
    <xf numFmtId="43" fontId="0" fillId="33" borderId="0" xfId="42" applyNumberFormat="1" applyFont="1" applyFill="1" applyBorder="1"/>
    <xf numFmtId="43" fontId="0" fillId="33" borderId="16" xfId="42" applyNumberFormat="1" applyFont="1" applyFill="1" applyBorder="1"/>
    <xf numFmtId="0" fontId="4" fillId="33" borderId="0" xfId="3" applyFill="1" applyBorder="1"/>
    <xf numFmtId="0" fontId="17" fillId="33" borderId="0" xfId="0" applyFont="1" applyFill="1"/>
    <xf numFmtId="1" fontId="0" fillId="33" borderId="0" xfId="0" applyNumberFormat="1" applyFill="1"/>
    <xf numFmtId="167" fontId="0" fillId="37" borderId="0" xfId="0" applyNumberFormat="1" applyFill="1"/>
    <xf numFmtId="167" fontId="0" fillId="37" borderId="16" xfId="0" applyNumberFormat="1" applyFill="1" applyBorder="1"/>
    <xf numFmtId="44" fontId="0" fillId="33" borderId="0" xfId="0" applyNumberFormat="1" applyFill="1"/>
    <xf numFmtId="44" fontId="0" fillId="33" borderId="16" xfId="0" applyNumberFormat="1" applyFill="1" applyBorder="1"/>
    <xf numFmtId="44" fontId="22" fillId="33" borderId="10" xfId="0" applyNumberFormat="1" applyFont="1" applyFill="1" applyBorder="1"/>
    <xf numFmtId="43" fontId="22" fillId="33" borderId="10" xfId="0" applyNumberFormat="1" applyFont="1" applyFill="1" applyBorder="1"/>
    <xf numFmtId="43" fontId="22" fillId="33" borderId="15" xfId="0" applyNumberFormat="1" applyFont="1" applyFill="1" applyBorder="1"/>
    <xf numFmtId="0" fontId="17" fillId="34" borderId="13" xfId="0" applyFont="1" applyFill="1" applyBorder="1"/>
    <xf numFmtId="0" fontId="0" fillId="33" borderId="13" xfId="0" applyFill="1" applyBorder="1"/>
    <xf numFmtId="0" fontId="0" fillId="33" borderId="14" xfId="0" applyFill="1" applyBorder="1"/>
    <xf numFmtId="0" fontId="0" fillId="37" borderId="20" xfId="0" applyFill="1" applyBorder="1"/>
    <xf numFmtId="0" fontId="0" fillId="33" borderId="0" xfId="0" applyFill="1" applyAlignment="1">
      <alignment vertical="center" wrapText="1"/>
    </xf>
    <xf numFmtId="0" fontId="18" fillId="33" borderId="0" xfId="43" applyFill="1" applyAlignment="1">
      <alignment vertical="center" wrapText="1"/>
    </xf>
    <xf numFmtId="16" fontId="0" fillId="33" borderId="0" xfId="0" applyNumberFormat="1" applyFill="1" applyAlignment="1">
      <alignment vertical="center" wrapText="1"/>
    </xf>
    <xf numFmtId="15" fontId="18" fillId="33" borderId="0" xfId="43" applyNumberFormat="1" applyFill="1" applyAlignment="1">
      <alignment vertical="center" wrapText="1"/>
    </xf>
    <xf numFmtId="0" fontId="17" fillId="34" borderId="22" xfId="0" applyFont="1" applyFill="1" applyBorder="1"/>
    <xf numFmtId="166" fontId="0" fillId="37" borderId="22" xfId="0" applyNumberFormat="1" applyFill="1" applyBorder="1"/>
    <xf numFmtId="166" fontId="0" fillId="37" borderId="21" xfId="0" applyNumberFormat="1" applyFill="1" applyBorder="1"/>
    <xf numFmtId="164" fontId="0" fillId="33" borderId="20" xfId="42" applyFont="1" applyFill="1" applyBorder="1"/>
    <xf numFmtId="164" fontId="17" fillId="33" borderId="0" xfId="0" applyNumberFormat="1" applyFont="1" applyFill="1"/>
    <xf numFmtId="165" fontId="17" fillId="33" borderId="0" xfId="0" applyNumberFormat="1" applyFont="1" applyFill="1"/>
    <xf numFmtId="6" fontId="22" fillId="37" borderId="0" xfId="0" applyNumberFormat="1" applyFont="1" applyFill="1"/>
    <xf numFmtId="6" fontId="22" fillId="37" borderId="16" xfId="0" applyNumberFormat="1" applyFont="1" applyFill="1" applyBorder="1"/>
    <xf numFmtId="43" fontId="22" fillId="37" borderId="0" xfId="0" applyNumberFormat="1" applyFont="1" applyFill="1"/>
    <xf numFmtId="43" fontId="22" fillId="37" borderId="16" xfId="0" applyNumberFormat="1" applyFont="1" applyFill="1" applyBorder="1"/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" xfId="42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3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4D74BD"/>
      <color rgb="FFF9FFD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>
                <a:solidFill>
                  <a:schemeClr val="tx1"/>
                </a:solidFill>
              </a:rPr>
              <a:t>Real Salary for GSW Players in 2021-22 Season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'Total Salary'!$C$5</c:f>
              <c:strCache>
                <c:ptCount val="1"/>
                <c:pt idx="0">
                  <c:v>Real Salary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F82-451A-9E10-61DFCFFF7FE4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F82-451A-9E10-61DFCFFF7FE4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F82-451A-9E10-61DFCFFF7FE4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F82-451A-9E10-61DFCFFF7FE4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F82-451A-9E10-61DFCFFF7FE4}"/>
              </c:ext>
            </c:extLst>
          </c:dPt>
          <c:dPt>
            <c:idx val="5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9F82-451A-9E10-61DFCFFF7FE4}"/>
              </c:ext>
            </c:extLst>
          </c:dPt>
          <c:dPt>
            <c:idx val="6"/>
            <c:bubble3D val="0"/>
            <c:spPr>
              <a:gradFill>
                <a:gsLst>
                  <a:gs pos="100000">
                    <a:schemeClr val="accent1">
                      <a:lumMod val="60000"/>
                      <a:lumMod val="60000"/>
                      <a:lumOff val="40000"/>
                    </a:schemeClr>
                  </a:gs>
                  <a:gs pos="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9F82-451A-9E10-61DFCFFF7FE4}"/>
              </c:ext>
            </c:extLst>
          </c:dPt>
          <c:dPt>
            <c:idx val="7"/>
            <c:bubble3D val="0"/>
            <c:spPr>
              <a:gradFill>
                <a:gsLst>
                  <a:gs pos="100000">
                    <a:schemeClr val="accent2">
                      <a:lumMod val="60000"/>
                      <a:lumMod val="60000"/>
                      <a:lumOff val="40000"/>
                    </a:schemeClr>
                  </a:gs>
                  <a:gs pos="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9F82-451A-9E10-61DFCFFF7FE4}"/>
              </c:ext>
            </c:extLst>
          </c:dPt>
          <c:dPt>
            <c:idx val="8"/>
            <c:bubble3D val="0"/>
            <c:spPr>
              <a:gradFill>
                <a:gsLst>
                  <a:gs pos="100000">
                    <a:schemeClr val="accent3">
                      <a:lumMod val="60000"/>
                      <a:lumMod val="60000"/>
                      <a:lumOff val="40000"/>
                    </a:schemeClr>
                  </a:gs>
                  <a:gs pos="0">
                    <a:schemeClr val="accent3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9F82-451A-9E10-61DFCFFF7FE4}"/>
              </c:ext>
            </c:extLst>
          </c:dPt>
          <c:dPt>
            <c:idx val="9"/>
            <c:bubble3D val="0"/>
            <c:spPr>
              <a:gradFill>
                <a:gsLst>
                  <a:gs pos="100000">
                    <a:schemeClr val="accent4">
                      <a:lumMod val="60000"/>
                      <a:lumMod val="60000"/>
                      <a:lumOff val="40000"/>
                    </a:schemeClr>
                  </a:gs>
                  <a:gs pos="0">
                    <a:schemeClr val="accent4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9F82-451A-9E10-61DFCFFF7FE4}"/>
              </c:ext>
            </c:extLst>
          </c:dPt>
          <c:dPt>
            <c:idx val="10"/>
            <c:bubble3D val="0"/>
            <c:spPr>
              <a:gradFill>
                <a:gsLst>
                  <a:gs pos="100000">
                    <a:schemeClr val="accent5">
                      <a:lumMod val="60000"/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9F82-451A-9E10-61DFCFFF7FE4}"/>
              </c:ext>
            </c:extLst>
          </c:dPt>
          <c:dPt>
            <c:idx val="11"/>
            <c:bubble3D val="0"/>
            <c:spPr>
              <a:gradFill>
                <a:gsLst>
                  <a:gs pos="100000">
                    <a:schemeClr val="accent6">
                      <a:lumMod val="60000"/>
                      <a:lumMod val="60000"/>
                      <a:lumOff val="40000"/>
                    </a:schemeClr>
                  </a:gs>
                  <a:gs pos="0">
                    <a:schemeClr val="accent6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9F82-451A-9E10-61DFCFFF7FE4}"/>
              </c:ext>
            </c:extLst>
          </c:dPt>
          <c:dPt>
            <c:idx val="12"/>
            <c:bubble3D val="0"/>
            <c:spPr>
              <a:gradFill>
                <a:gsLst>
                  <a:gs pos="100000">
                    <a:schemeClr val="accent1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1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9F82-451A-9E10-61DFCFFF7FE4}"/>
              </c:ext>
            </c:extLst>
          </c:dPt>
          <c:dPt>
            <c:idx val="13"/>
            <c:bubble3D val="0"/>
            <c:spPr>
              <a:gradFill>
                <a:gsLst>
                  <a:gs pos="100000">
                    <a:schemeClr val="accent2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2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9F82-451A-9E10-61DFCFFF7FE4}"/>
              </c:ext>
            </c:extLst>
          </c:dPt>
          <c:dPt>
            <c:idx val="14"/>
            <c:bubble3D val="0"/>
            <c:spPr>
              <a:gradFill>
                <a:gsLst>
                  <a:gs pos="100000">
                    <a:schemeClr val="accent3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3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9F82-451A-9E10-61DFCFFF7FE4}"/>
              </c:ext>
            </c:extLst>
          </c:dPt>
          <c:dPt>
            <c:idx val="15"/>
            <c:bubble3D val="0"/>
            <c:spPr>
              <a:gradFill>
                <a:gsLst>
                  <a:gs pos="100000">
                    <a:schemeClr val="accent4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4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9F82-451A-9E10-61DFCFFF7FE4}"/>
              </c:ext>
            </c:extLst>
          </c:dPt>
          <c:dPt>
            <c:idx val="16"/>
            <c:bubble3D val="0"/>
            <c:spPr>
              <a:gradFill>
                <a:gsLst>
                  <a:gs pos="100000">
                    <a:schemeClr val="accent5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5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9F82-451A-9E10-61DFCFFF7FE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'Total Salary'!$B$6:$B$22</c:f>
              <c:strCache>
                <c:ptCount val="17"/>
                <c:pt idx="0">
                  <c:v>Andrew Wiggins</c:v>
                </c:pt>
                <c:pt idx="1">
                  <c:v>Draymond Green</c:v>
                </c:pt>
                <c:pt idx="2">
                  <c:v>Jonathan Kuminga</c:v>
                </c:pt>
                <c:pt idx="3">
                  <c:v>Juan Toscano-Anderson</c:v>
                </c:pt>
                <c:pt idx="4">
                  <c:v>Damion Lee</c:v>
                </c:pt>
                <c:pt idx="5">
                  <c:v>Gary Payton II</c:v>
                </c:pt>
                <c:pt idx="6">
                  <c:v>Klay Thompson</c:v>
                </c:pt>
                <c:pt idx="7">
                  <c:v>Kevon Looney</c:v>
                </c:pt>
                <c:pt idx="8">
                  <c:v>Nemanja Bjelica</c:v>
                </c:pt>
                <c:pt idx="9">
                  <c:v>Stephen Curry</c:v>
                </c:pt>
                <c:pt idx="10">
                  <c:v>Chris Chiozza</c:v>
                </c:pt>
                <c:pt idx="11">
                  <c:v>Jeff Dowtin</c:v>
                </c:pt>
                <c:pt idx="12">
                  <c:v>Otto Porter Jr.</c:v>
                </c:pt>
                <c:pt idx="13">
                  <c:v>Andre Iguodala</c:v>
                </c:pt>
                <c:pt idx="14">
                  <c:v>Jordan Poole</c:v>
                </c:pt>
                <c:pt idx="15">
                  <c:v>Moses Moody</c:v>
                </c:pt>
                <c:pt idx="16">
                  <c:v>Quinndary Weatherspoon</c:v>
                </c:pt>
              </c:strCache>
            </c:strRef>
          </c:cat>
          <c:val>
            <c:numRef>
              <c:f>'Total Salary'!$C$6:$C$22</c:f>
              <c:numCache>
                <c:formatCode>"$"#,##0_);[Red]\("$"#,##0\)</c:formatCode>
                <c:ptCount val="17"/>
                <c:pt idx="0">
                  <c:v>31579390</c:v>
                </c:pt>
                <c:pt idx="1">
                  <c:v>24026712</c:v>
                </c:pt>
                <c:pt idx="2">
                  <c:v>5466360</c:v>
                </c:pt>
                <c:pt idx="3">
                  <c:v>2089448</c:v>
                </c:pt>
                <c:pt idx="4">
                  <c:v>1910860</c:v>
                </c:pt>
                <c:pt idx="5">
                  <c:v>1939350</c:v>
                </c:pt>
                <c:pt idx="6">
                  <c:v>37980720</c:v>
                </c:pt>
                <c:pt idx="7">
                  <c:v>5178572</c:v>
                </c:pt>
                <c:pt idx="8">
                  <c:v>2089448</c:v>
                </c:pt>
                <c:pt idx="9">
                  <c:v>45780966</c:v>
                </c:pt>
                <c:pt idx="10">
                  <c:v>0</c:v>
                </c:pt>
                <c:pt idx="11">
                  <c:v>0</c:v>
                </c:pt>
                <c:pt idx="12">
                  <c:v>2389641</c:v>
                </c:pt>
                <c:pt idx="13">
                  <c:v>2641691</c:v>
                </c:pt>
                <c:pt idx="14">
                  <c:v>2161440</c:v>
                </c:pt>
                <c:pt idx="15">
                  <c:v>3562080</c:v>
                </c:pt>
                <c:pt idx="16">
                  <c:v>95930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E0-1947-9F45-5631F5F164BC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2">
        <a:lumMod val="10000"/>
        <a:lumOff val="90000"/>
      </a:schemeClr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chemeClr val="tx1"/>
                </a:solidFill>
              </a:rPr>
              <a:t>Player Value vs Salary for GSW Players in 2021-22 Season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'Total Salary'!$C$5</c:f>
              <c:strCache>
                <c:ptCount val="1"/>
                <c:pt idx="0">
                  <c:v>Real Salary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'Total Salary'!$B$6:$B$22</c:f>
              <c:strCache>
                <c:ptCount val="17"/>
                <c:pt idx="0">
                  <c:v>Andrew Wiggins</c:v>
                </c:pt>
                <c:pt idx="1">
                  <c:v>Draymond Green</c:v>
                </c:pt>
                <c:pt idx="2">
                  <c:v>Jonathan Kuminga</c:v>
                </c:pt>
                <c:pt idx="3">
                  <c:v>Juan Toscano-Anderson</c:v>
                </c:pt>
                <c:pt idx="4">
                  <c:v>Damion Lee</c:v>
                </c:pt>
                <c:pt idx="5">
                  <c:v>Gary Payton II</c:v>
                </c:pt>
                <c:pt idx="6">
                  <c:v>Klay Thompson</c:v>
                </c:pt>
                <c:pt idx="7">
                  <c:v>Kevon Looney</c:v>
                </c:pt>
                <c:pt idx="8">
                  <c:v>Nemanja Bjelica</c:v>
                </c:pt>
                <c:pt idx="9">
                  <c:v>Stephen Curry</c:v>
                </c:pt>
                <c:pt idx="10">
                  <c:v>Chris Chiozza</c:v>
                </c:pt>
                <c:pt idx="11">
                  <c:v>Jeff Dowtin</c:v>
                </c:pt>
                <c:pt idx="12">
                  <c:v>Otto Porter Jr.</c:v>
                </c:pt>
                <c:pt idx="13">
                  <c:v>Andre Iguodala</c:v>
                </c:pt>
                <c:pt idx="14">
                  <c:v>Jordan Poole</c:v>
                </c:pt>
                <c:pt idx="15">
                  <c:v>Moses Moody</c:v>
                </c:pt>
                <c:pt idx="16">
                  <c:v>Quinndary Weatherspoon</c:v>
                </c:pt>
              </c:strCache>
            </c:strRef>
          </c:cat>
          <c:val>
            <c:numRef>
              <c:f>'Total Salary'!$C$6:$C$22</c:f>
              <c:numCache>
                <c:formatCode>"$"#,##0_);[Red]\("$"#,##0\)</c:formatCode>
                <c:ptCount val="17"/>
                <c:pt idx="0">
                  <c:v>31579390</c:v>
                </c:pt>
                <c:pt idx="1">
                  <c:v>24026712</c:v>
                </c:pt>
                <c:pt idx="2">
                  <c:v>5466360</c:v>
                </c:pt>
                <c:pt idx="3">
                  <c:v>2089448</c:v>
                </c:pt>
                <c:pt idx="4">
                  <c:v>1910860</c:v>
                </c:pt>
                <c:pt idx="5">
                  <c:v>1939350</c:v>
                </c:pt>
                <c:pt idx="6">
                  <c:v>37980720</c:v>
                </c:pt>
                <c:pt idx="7">
                  <c:v>5178572</c:v>
                </c:pt>
                <c:pt idx="8">
                  <c:v>2089448</c:v>
                </c:pt>
                <c:pt idx="9">
                  <c:v>45780966</c:v>
                </c:pt>
                <c:pt idx="10">
                  <c:v>0</c:v>
                </c:pt>
                <c:pt idx="11">
                  <c:v>0</c:v>
                </c:pt>
                <c:pt idx="12">
                  <c:v>2389641</c:v>
                </c:pt>
                <c:pt idx="13">
                  <c:v>2641691</c:v>
                </c:pt>
                <c:pt idx="14">
                  <c:v>2161440</c:v>
                </c:pt>
                <c:pt idx="15">
                  <c:v>3562080</c:v>
                </c:pt>
                <c:pt idx="16">
                  <c:v>95930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3A-41E2-AA5F-B8DE0A93AE3B}"/>
            </c:ext>
          </c:extLst>
        </c:ser>
        <c:ser>
          <c:idx val="1"/>
          <c:order val="1"/>
          <c:tx>
            <c:strRef>
              <c:f>'Total Salary'!$H$5</c:f>
              <c:strCache>
                <c:ptCount val="1"/>
                <c:pt idx="0">
                  <c:v>Player Value</c:v>
                </c:pt>
              </c:strCache>
            </c:strRef>
          </c:tx>
          <c:spPr>
            <a:solidFill>
              <a:schemeClr val="tx2">
                <a:lumMod val="90000"/>
                <a:lumOff val="10000"/>
              </a:schemeClr>
            </a:solidFill>
            <a:ln>
              <a:noFill/>
            </a:ln>
            <a:effectLst/>
          </c:spPr>
          <c:invertIfNegative val="0"/>
          <c:cat>
            <c:strRef>
              <c:f>'Total Salary'!$B$6:$B$22</c:f>
              <c:strCache>
                <c:ptCount val="17"/>
                <c:pt idx="0">
                  <c:v>Andrew Wiggins</c:v>
                </c:pt>
                <c:pt idx="1">
                  <c:v>Draymond Green</c:v>
                </c:pt>
                <c:pt idx="2">
                  <c:v>Jonathan Kuminga</c:v>
                </c:pt>
                <c:pt idx="3">
                  <c:v>Juan Toscano-Anderson</c:v>
                </c:pt>
                <c:pt idx="4">
                  <c:v>Damion Lee</c:v>
                </c:pt>
                <c:pt idx="5">
                  <c:v>Gary Payton II</c:v>
                </c:pt>
                <c:pt idx="6">
                  <c:v>Klay Thompson</c:v>
                </c:pt>
                <c:pt idx="7">
                  <c:v>Kevon Looney</c:v>
                </c:pt>
                <c:pt idx="8">
                  <c:v>Nemanja Bjelica</c:v>
                </c:pt>
                <c:pt idx="9">
                  <c:v>Stephen Curry</c:v>
                </c:pt>
                <c:pt idx="10">
                  <c:v>Chris Chiozza</c:v>
                </c:pt>
                <c:pt idx="11">
                  <c:v>Jeff Dowtin</c:v>
                </c:pt>
                <c:pt idx="12">
                  <c:v>Otto Porter Jr.</c:v>
                </c:pt>
                <c:pt idx="13">
                  <c:v>Andre Iguodala</c:v>
                </c:pt>
                <c:pt idx="14">
                  <c:v>Jordan Poole</c:v>
                </c:pt>
                <c:pt idx="15">
                  <c:v>Moses Moody</c:v>
                </c:pt>
                <c:pt idx="16">
                  <c:v>Quinndary Weatherspoon</c:v>
                </c:pt>
              </c:strCache>
            </c:strRef>
          </c:cat>
          <c:val>
            <c:numRef>
              <c:f>'Total Salary'!$H$6:$H$22</c:f>
              <c:numCache>
                <c:formatCode>_-"$"* #,##0.00_-;\-"$"* #,##0.00_-;_-"$"* "-"??_-;_-@_-</c:formatCode>
                <c:ptCount val="17"/>
                <c:pt idx="0">
                  <c:v>13968421.503189981</c:v>
                </c:pt>
                <c:pt idx="1">
                  <c:v>11208516.729405783</c:v>
                </c:pt>
                <c:pt idx="2">
                  <c:v>2991649.8883630373</c:v>
                </c:pt>
                <c:pt idx="3">
                  <c:v>3482395.2030584067</c:v>
                </c:pt>
                <c:pt idx="4">
                  <c:v>2963669.6046297089</c:v>
                </c:pt>
                <c:pt idx="5">
                  <c:v>10244690.420482988</c:v>
                </c:pt>
                <c:pt idx="6">
                  <c:v>4579035.5212963875</c:v>
                </c:pt>
                <c:pt idx="7">
                  <c:v>9452089.5812645797</c:v>
                </c:pt>
                <c:pt idx="8">
                  <c:v>4740778.9270274546</c:v>
                </c:pt>
                <c:pt idx="9">
                  <c:v>19228042.33975276</c:v>
                </c:pt>
                <c:pt idx="10">
                  <c:v>135927.86395745337</c:v>
                </c:pt>
                <c:pt idx="11">
                  <c:v>1340541.2894736535</c:v>
                </c:pt>
                <c:pt idx="12">
                  <c:v>9389864.7092574947</c:v>
                </c:pt>
                <c:pt idx="13">
                  <c:v>5062818.4518570686</c:v>
                </c:pt>
                <c:pt idx="14">
                  <c:v>9858044.5290269647</c:v>
                </c:pt>
                <c:pt idx="15">
                  <c:v>1901758.6525094542</c:v>
                </c:pt>
                <c:pt idx="16">
                  <c:v>1013209.0288072292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43A-41E2-AA5F-B8DE0A93AE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65500991"/>
        <c:axId val="1065507231"/>
      </c:barChart>
      <c:catAx>
        <c:axId val="10655009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b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5507231"/>
        <c:crosses val="autoZero"/>
        <c:auto val="1"/>
        <c:lblAlgn val="ctr"/>
        <c:lblOffset val="100"/>
        <c:noMultiLvlLbl val="0"/>
      </c:catAx>
      <c:valAx>
        <c:axId val="106550723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55009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8471370259558291"/>
          <c:y val="0.89775269176911043"/>
          <c:w val="0.24659515743243202"/>
          <c:h val="5.299760648472258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tx2">
        <a:lumMod val="10000"/>
        <a:lumOff val="90000"/>
      </a:schemeClr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5653</xdr:colOff>
      <xdr:row>24</xdr:row>
      <xdr:rowOff>173218</xdr:rowOff>
    </xdr:from>
    <xdr:to>
      <xdr:col>6</xdr:col>
      <xdr:colOff>888286</xdr:colOff>
      <xdr:row>46</xdr:row>
      <xdr:rowOff>165884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146FAD0-A0F5-972B-83FF-5EA36A791D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1032270</xdr:colOff>
      <xdr:row>24</xdr:row>
      <xdr:rowOff>170770</xdr:rowOff>
    </xdr:from>
    <xdr:to>
      <xdr:col>14</xdr:col>
      <xdr:colOff>585659</xdr:colOff>
      <xdr:row>46</xdr:row>
      <xdr:rowOff>173491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60913DD-0917-5B7C-11AD-2589BADEC6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97951-6984-44CA-B1B8-74F6891A46EB}">
  <dimension ref="B2:V223"/>
  <sheetViews>
    <sheetView tabSelected="1" topLeftCell="A5" zoomScale="68" zoomScaleNormal="114" workbookViewId="0">
      <selection activeCell="J6" sqref="J6"/>
    </sheetView>
  </sheetViews>
  <sheetFormatPr defaultColWidth="9.140625" defaultRowHeight="14.25"/>
  <cols>
    <col min="1" max="1" width="9" style="1" bestFit="1" customWidth="1"/>
    <col min="2" max="2" width="23.28515625" style="1" bestFit="1" customWidth="1"/>
    <col min="3" max="3" width="11.42578125" style="1" bestFit="1" customWidth="1"/>
    <col min="4" max="4" width="7.140625" style="1" bestFit="1" customWidth="1"/>
    <col min="5" max="5" width="21" style="1" bestFit="1" customWidth="1"/>
    <col min="6" max="6" width="20.7109375" style="1" bestFit="1" customWidth="1"/>
    <col min="7" max="7" width="17.7109375" style="1" bestFit="1" customWidth="1"/>
    <col min="8" max="8" width="14.5703125" style="1" bestFit="1" customWidth="1"/>
    <col min="9" max="9" width="12.28515625" style="1" bestFit="1" customWidth="1"/>
    <col min="10" max="10" width="9.28515625" style="1" bestFit="1" customWidth="1"/>
    <col min="11" max="11" width="14.140625" style="1" bestFit="1" customWidth="1"/>
    <col min="12" max="12" width="9.140625" style="1"/>
    <col min="13" max="13" width="9.7109375" style="1" bestFit="1" customWidth="1"/>
    <col min="14" max="14" width="9.140625" style="1"/>
    <col min="15" max="15" width="12.28515625" style="1" customWidth="1"/>
    <col min="16" max="16" width="14.140625" style="1" bestFit="1" customWidth="1"/>
    <col min="17" max="16384" width="9.140625" style="1"/>
  </cols>
  <sheetData>
    <row r="2" spans="2:14" ht="17.25">
      <c r="B2" s="50"/>
    </row>
    <row r="3" spans="2:14"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</row>
    <row r="4" spans="2:14" ht="17.649999999999999" thickBot="1">
      <c r="B4" s="14" t="s">
        <v>0</v>
      </c>
    </row>
    <row r="5" spans="2:14" ht="14.65" thickTop="1">
      <c r="B5" s="12" t="s">
        <v>1</v>
      </c>
      <c r="C5" s="12" t="s">
        <v>2</v>
      </c>
      <c r="D5" s="12" t="s">
        <v>3</v>
      </c>
      <c r="E5" s="12" t="s">
        <v>4</v>
      </c>
      <c r="F5" s="12" t="s">
        <v>5</v>
      </c>
      <c r="G5" s="12" t="s">
        <v>6</v>
      </c>
      <c r="H5" s="51" t="s">
        <v>7</v>
      </c>
    </row>
    <row r="6" spans="2:14">
      <c r="B6" s="1" t="s">
        <v>8</v>
      </c>
      <c r="C6" s="74">
        <v>31579390</v>
      </c>
      <c r="D6" s="34" t="s">
        <v>9</v>
      </c>
      <c r="E6" s="39">
        <f>'Regular Season'!D182</f>
        <v>8471307.7968117855</v>
      </c>
      <c r="F6" s="39">
        <f>'Playoffs Season'!D182</f>
        <v>5497113.7063781964</v>
      </c>
      <c r="G6" s="55">
        <f t="shared" ref="G6:G22" si="0">C6-(E6+F6)</f>
        <v>17610968.496810019</v>
      </c>
      <c r="H6" s="72">
        <f>E6+F6</f>
        <v>13968421.503189981</v>
      </c>
    </row>
    <row r="7" spans="2:14">
      <c r="B7" s="1" t="s">
        <v>10</v>
      </c>
      <c r="C7" s="74">
        <v>24026712</v>
      </c>
      <c r="D7" s="34" t="s">
        <v>9</v>
      </c>
      <c r="E7" s="39">
        <f>'Regular Season'!D187</f>
        <v>6229187.0378959477</v>
      </c>
      <c r="F7" s="39">
        <f>'Playoffs Season'!D187</f>
        <v>4979329.6915098345</v>
      </c>
      <c r="G7" s="55">
        <f t="shared" si="0"/>
        <v>12818195.270594217</v>
      </c>
      <c r="H7" s="72">
        <f t="shared" ref="H7:H22" si="1">E7+F7</f>
        <v>11208516.729405783</v>
      </c>
    </row>
    <row r="8" spans="2:14">
      <c r="B8" s="1" t="s">
        <v>11</v>
      </c>
      <c r="C8" s="74">
        <v>5466360</v>
      </c>
      <c r="D8" s="34" t="s">
        <v>9</v>
      </c>
      <c r="E8" s="39">
        <f>'Regular Season'!D190</f>
        <v>2169819.3183170734</v>
      </c>
      <c r="F8" s="39">
        <f>'Playoffs Season'!D190</f>
        <v>821830.57004596374</v>
      </c>
      <c r="G8" s="55">
        <f t="shared" si="0"/>
        <v>2474710.1116369627</v>
      </c>
      <c r="H8" s="72">
        <f t="shared" si="1"/>
        <v>2991649.8883630373</v>
      </c>
    </row>
    <row r="9" spans="2:14">
      <c r="B9" s="1" t="s">
        <v>12</v>
      </c>
      <c r="C9" s="74">
        <v>2089448</v>
      </c>
      <c r="D9" s="34" t="s">
        <v>9</v>
      </c>
      <c r="E9" s="39">
        <f>'Regular Season'!D192</f>
        <v>2564359.6597056906</v>
      </c>
      <c r="F9" s="39">
        <f>'Playoffs Season'!D192</f>
        <v>918035.54335271637</v>
      </c>
      <c r="G9" s="55">
        <f t="shared" si="0"/>
        <v>-1392947.2030584067</v>
      </c>
      <c r="H9" s="72">
        <f t="shared" si="1"/>
        <v>3482395.2030584067</v>
      </c>
    </row>
    <row r="10" spans="2:14">
      <c r="B10" s="1" t="s">
        <v>13</v>
      </c>
      <c r="C10" s="74">
        <v>1910860</v>
      </c>
      <c r="D10" s="34" t="s">
        <v>14</v>
      </c>
      <c r="E10" s="39">
        <f>'Regular Season'!D188</f>
        <v>2205387.491953956</v>
      </c>
      <c r="F10" s="39">
        <f>'Playoffs Season'!D188</f>
        <v>758282.11267575284</v>
      </c>
      <c r="G10" s="55">
        <f t="shared" si="0"/>
        <v>-1052809.6046297089</v>
      </c>
      <c r="H10" s="72">
        <f t="shared" si="1"/>
        <v>2963669.6046297089</v>
      </c>
    </row>
    <row r="11" spans="2:14">
      <c r="B11" s="1" t="s">
        <v>15</v>
      </c>
      <c r="C11" s="74">
        <v>1939350</v>
      </c>
      <c r="D11" s="34" t="s">
        <v>14</v>
      </c>
      <c r="E11" s="39">
        <f>'Regular Season'!D189</f>
        <v>7440295.6062555714</v>
      </c>
      <c r="F11" s="39">
        <f>'Playoffs Season'!D189</f>
        <v>2804394.8142274166</v>
      </c>
      <c r="G11" s="55">
        <f t="shared" si="0"/>
        <v>-8305340.4204829875</v>
      </c>
      <c r="H11" s="72">
        <f t="shared" si="1"/>
        <v>10244690.420482988</v>
      </c>
    </row>
    <row r="12" spans="2:14">
      <c r="B12" s="1" t="s">
        <v>16</v>
      </c>
      <c r="C12" s="74">
        <v>37980720</v>
      </c>
      <c r="D12" s="34" t="s">
        <v>14</v>
      </c>
      <c r="E12" s="39">
        <f>'Regular Season'!D193</f>
        <v>3262485.1403346006</v>
      </c>
      <c r="F12" s="39">
        <f>'Playoffs Season'!D193</f>
        <v>1316550.380961787</v>
      </c>
      <c r="G12" s="55">
        <f t="shared" si="0"/>
        <v>33401684.478703611</v>
      </c>
      <c r="H12" s="72">
        <f t="shared" si="1"/>
        <v>4579035.5212963875</v>
      </c>
    </row>
    <row r="13" spans="2:14">
      <c r="B13" s="1" t="s">
        <v>17</v>
      </c>
      <c r="C13" s="74">
        <v>5178572</v>
      </c>
      <c r="D13" s="34" t="s">
        <v>18</v>
      </c>
      <c r="E13" s="39">
        <f>'Regular Season'!D185</f>
        <v>6298363.141655569</v>
      </c>
      <c r="F13" s="39">
        <f>'Playoffs Season'!D185</f>
        <v>3153726.4396090102</v>
      </c>
      <c r="G13" s="55">
        <f t="shared" si="0"/>
        <v>-4273517.5812645797</v>
      </c>
      <c r="H13" s="72">
        <f t="shared" si="1"/>
        <v>9452089.5812645797</v>
      </c>
    </row>
    <row r="14" spans="2:14">
      <c r="B14" s="1" t="s">
        <v>19</v>
      </c>
      <c r="C14" s="74">
        <v>2089448</v>
      </c>
      <c r="D14" s="34" t="s">
        <v>18</v>
      </c>
      <c r="E14" s="39">
        <f>'Regular Season'!D191</f>
        <v>3756571.6765494165</v>
      </c>
      <c r="F14" s="39">
        <f>'Playoffs Season'!D191</f>
        <v>984207.25047803833</v>
      </c>
      <c r="G14" s="55">
        <f t="shared" si="0"/>
        <v>-2651330.9270274546</v>
      </c>
      <c r="H14" s="72">
        <f t="shared" si="1"/>
        <v>4740778.9270274546</v>
      </c>
    </row>
    <row r="15" spans="2:14">
      <c r="B15" s="1" t="s">
        <v>20</v>
      </c>
      <c r="C15" s="74">
        <v>45780966</v>
      </c>
      <c r="D15" s="34" t="s">
        <v>21</v>
      </c>
      <c r="E15" s="39">
        <f>'Regular Season'!D184</f>
        <v>13751135.468299568</v>
      </c>
      <c r="F15" s="39">
        <f>'Playoffs Season'!D184</f>
        <v>5476906.8714531912</v>
      </c>
      <c r="G15" s="55">
        <f t="shared" si="0"/>
        <v>26552923.66024724</v>
      </c>
      <c r="H15" s="72">
        <f t="shared" si="1"/>
        <v>19228042.33975276</v>
      </c>
    </row>
    <row r="16" spans="2:14">
      <c r="B16" s="1" t="s">
        <v>22</v>
      </c>
      <c r="C16" s="74">
        <v>0</v>
      </c>
      <c r="D16" s="34" t="s">
        <v>21</v>
      </c>
      <c r="E16" s="39">
        <f>'Regular Season'!D196</f>
        <v>135927.86395745337</v>
      </c>
      <c r="F16" s="39">
        <f>'Playoffs Season'!D196</f>
        <v>0</v>
      </c>
      <c r="G16" s="55">
        <f t="shared" si="0"/>
        <v>-135927.86395745337</v>
      </c>
      <c r="H16" s="72">
        <f t="shared" si="1"/>
        <v>135927.86395745337</v>
      </c>
    </row>
    <row r="17" spans="2:22">
      <c r="B17" s="1" t="s">
        <v>23</v>
      </c>
      <c r="C17" s="74">
        <v>0</v>
      </c>
      <c r="D17" s="34" t="s">
        <v>21</v>
      </c>
      <c r="E17" s="39">
        <f>'Regular Season'!D198</f>
        <v>1340541.2894736535</v>
      </c>
      <c r="F17" s="39">
        <f>'Playoffs Season'!D198</f>
        <v>0</v>
      </c>
      <c r="G17" s="55">
        <f t="shared" si="0"/>
        <v>-1340541.2894736535</v>
      </c>
      <c r="H17" s="72">
        <f t="shared" si="1"/>
        <v>1340541.2894736535</v>
      </c>
    </row>
    <row r="18" spans="2:22">
      <c r="B18" s="1" t="s">
        <v>24</v>
      </c>
      <c r="C18" s="74">
        <v>2389641</v>
      </c>
      <c r="D18" s="34" t="s">
        <v>25</v>
      </c>
      <c r="E18" s="39">
        <f>'Regular Season'!D186</f>
        <v>6314992.8235863419</v>
      </c>
      <c r="F18" s="39">
        <f>'Playoffs Season'!D186</f>
        <v>3074871.8856711518</v>
      </c>
      <c r="G18" s="55">
        <f t="shared" si="0"/>
        <v>-7000223.7092574947</v>
      </c>
      <c r="H18" s="72">
        <f t="shared" si="1"/>
        <v>9389864.7092574947</v>
      </c>
    </row>
    <row r="19" spans="2:22">
      <c r="B19" s="1" t="s">
        <v>26</v>
      </c>
      <c r="C19" s="74">
        <v>2641691</v>
      </c>
      <c r="D19" s="34" t="s">
        <v>25</v>
      </c>
      <c r="E19" s="39">
        <f>'Regular Season'!D195</f>
        <v>4118235.2931607789</v>
      </c>
      <c r="F19" s="39">
        <f>'Playoffs Season'!D195</f>
        <v>944583.15869628941</v>
      </c>
      <c r="G19" s="55">
        <f t="shared" si="0"/>
        <v>-2421127.4518570686</v>
      </c>
      <c r="H19" s="72">
        <f t="shared" si="1"/>
        <v>5062818.4518570686</v>
      </c>
    </row>
    <row r="20" spans="2:22">
      <c r="B20" s="1" t="s">
        <v>27</v>
      </c>
      <c r="C20" s="74">
        <v>2161440</v>
      </c>
      <c r="D20" s="34" t="s">
        <v>28</v>
      </c>
      <c r="E20" s="39">
        <f>'Regular Season'!D183</f>
        <v>7732091.7159009539</v>
      </c>
      <c r="F20" s="39">
        <f>'Playoffs Season'!D183</f>
        <v>2125952.8131260113</v>
      </c>
      <c r="G20" s="55">
        <f t="shared" si="0"/>
        <v>-7696604.5290269647</v>
      </c>
      <c r="H20" s="72">
        <f t="shared" si="1"/>
        <v>9858044.5290269647</v>
      </c>
    </row>
    <row r="21" spans="2:22">
      <c r="B21" s="1" t="s">
        <v>29</v>
      </c>
      <c r="C21" s="74">
        <v>3562080</v>
      </c>
      <c r="D21" s="34" t="s">
        <v>28</v>
      </c>
      <c r="E21" s="39">
        <f>'Regular Season'!D194</f>
        <v>692917.36741710326</v>
      </c>
      <c r="F21" s="39">
        <f>'Playoffs Season'!D194</f>
        <v>1208841.285092351</v>
      </c>
      <c r="G21" s="55">
        <f t="shared" si="0"/>
        <v>1660321.3474905458</v>
      </c>
      <c r="H21" s="72">
        <f t="shared" si="1"/>
        <v>1901758.6525094542</v>
      </c>
    </row>
    <row r="22" spans="2:22">
      <c r="B22" s="15" t="s">
        <v>30</v>
      </c>
      <c r="C22" s="75">
        <v>95930</v>
      </c>
      <c r="D22" s="63" t="s">
        <v>28</v>
      </c>
      <c r="E22" s="40">
        <f>'Regular Season'!D197</f>
        <v>1013209.0288072292</v>
      </c>
      <c r="F22" s="40">
        <f>'Playoffs Season'!D197</f>
        <v>0</v>
      </c>
      <c r="G22" s="56">
        <f t="shared" si="0"/>
        <v>-917279.02880722925</v>
      </c>
      <c r="H22" s="72">
        <f t="shared" si="1"/>
        <v>1013209.0288072292</v>
      </c>
      <c r="J22" s="51"/>
      <c r="K22" s="51"/>
      <c r="L22" s="51"/>
      <c r="M22" s="51"/>
      <c r="N22" s="51"/>
    </row>
    <row r="23" spans="2:22">
      <c r="H23" s="73"/>
      <c r="J23" s="2"/>
      <c r="K23" s="2"/>
      <c r="L23" s="2"/>
      <c r="M23" s="2"/>
      <c r="N23" s="2"/>
    </row>
    <row r="24" spans="2:22">
      <c r="H24" s="73"/>
      <c r="J24" s="2"/>
      <c r="K24" s="2"/>
      <c r="L24" s="2"/>
      <c r="M24" s="2"/>
      <c r="N24" s="2"/>
    </row>
    <row r="25" spans="2:22">
      <c r="F25" s="8"/>
      <c r="G25" s="8"/>
    </row>
    <row r="26" spans="2:22">
      <c r="B26" s="51"/>
      <c r="C26" s="51"/>
      <c r="D26" s="51"/>
      <c r="F26" s="9"/>
      <c r="G26" s="10"/>
    </row>
    <row r="27" spans="2:22">
      <c r="C27" s="35"/>
      <c r="D27" s="35"/>
      <c r="F27" s="9"/>
      <c r="G27" s="10"/>
      <c r="H27" s="51"/>
      <c r="J27" s="51"/>
      <c r="K27" s="51"/>
      <c r="L27" s="51"/>
      <c r="M27" s="51"/>
      <c r="N27" s="51"/>
    </row>
    <row r="28" spans="2:22">
      <c r="C28" s="35"/>
      <c r="D28" s="35"/>
      <c r="F28" s="9"/>
      <c r="G28" s="10"/>
    </row>
    <row r="29" spans="2:22">
      <c r="C29" s="35"/>
      <c r="D29" s="35"/>
      <c r="F29" s="9"/>
      <c r="G29" s="10"/>
    </row>
    <row r="30" spans="2:22">
      <c r="F30" s="9"/>
      <c r="G30" s="10"/>
    </row>
    <row r="31" spans="2:22">
      <c r="C31" s="3"/>
      <c r="F31" s="9"/>
      <c r="G31" s="10"/>
    </row>
    <row r="32" spans="2:22">
      <c r="D32" s="64"/>
      <c r="E32" s="65"/>
      <c r="F32" s="64"/>
      <c r="G32" s="66"/>
      <c r="H32" s="64"/>
      <c r="I32" s="64"/>
      <c r="J32" s="65"/>
      <c r="K32" s="65"/>
      <c r="L32" s="65"/>
      <c r="N32" s="65"/>
      <c r="O32" s="64"/>
      <c r="P32" s="66"/>
      <c r="Q32" s="64"/>
      <c r="R32" s="67"/>
      <c r="S32" s="64"/>
      <c r="T32" s="65"/>
      <c r="U32" s="64"/>
      <c r="V32" s="65"/>
    </row>
    <row r="33" spans="2:22">
      <c r="D33" s="64"/>
      <c r="E33" s="65"/>
      <c r="F33" s="64"/>
      <c r="G33" s="66"/>
      <c r="H33" s="64"/>
      <c r="I33" s="64"/>
      <c r="J33" s="65"/>
      <c r="K33" s="65"/>
      <c r="L33" s="65"/>
      <c r="N33" s="65"/>
      <c r="O33" s="64"/>
      <c r="P33" s="66"/>
      <c r="Q33" s="64"/>
      <c r="R33" s="67"/>
      <c r="S33" s="64"/>
      <c r="T33" s="65"/>
      <c r="U33" s="64"/>
      <c r="V33" s="65"/>
    </row>
    <row r="34" spans="2:22">
      <c r="D34" s="64"/>
      <c r="E34" s="65"/>
      <c r="F34" s="64"/>
      <c r="G34" s="66"/>
      <c r="H34" s="64"/>
      <c r="I34" s="64"/>
      <c r="J34" s="65"/>
      <c r="K34" s="65"/>
      <c r="L34" s="65"/>
      <c r="N34" s="65"/>
      <c r="O34" s="64"/>
      <c r="P34" s="66"/>
      <c r="Q34" s="64"/>
      <c r="R34" s="67"/>
      <c r="S34" s="64"/>
      <c r="T34" s="65"/>
      <c r="U34" s="64"/>
      <c r="V34" s="65"/>
    </row>
    <row r="35" spans="2:22">
      <c r="C35" s="3"/>
      <c r="D35" s="64"/>
      <c r="E35" s="65"/>
      <c r="F35" s="64"/>
      <c r="G35" s="66"/>
      <c r="H35" s="64"/>
      <c r="I35" s="64"/>
      <c r="J35" s="65"/>
      <c r="K35" s="65"/>
      <c r="L35" s="65"/>
      <c r="N35" s="65"/>
      <c r="O35" s="64"/>
      <c r="P35" s="66"/>
      <c r="Q35" s="64"/>
      <c r="R35" s="67"/>
      <c r="S35" s="64"/>
      <c r="T35" s="65"/>
      <c r="U35" s="64"/>
      <c r="V35" s="65"/>
    </row>
    <row r="36" spans="2:22">
      <c r="C36" s="3"/>
      <c r="D36" s="64"/>
      <c r="E36" s="65"/>
      <c r="F36" s="64"/>
      <c r="G36" s="66"/>
      <c r="H36" s="64"/>
      <c r="I36" s="64"/>
      <c r="J36" s="65"/>
      <c r="K36" s="65"/>
      <c r="L36" s="65"/>
      <c r="N36" s="65"/>
      <c r="O36" s="64"/>
      <c r="P36" s="66"/>
      <c r="Q36" s="64"/>
      <c r="R36" s="67"/>
      <c r="S36" s="64"/>
      <c r="T36" s="65"/>
      <c r="U36" s="64"/>
      <c r="V36" s="65"/>
    </row>
    <row r="37" spans="2:22">
      <c r="D37" s="64"/>
      <c r="E37" s="65"/>
      <c r="F37" s="64"/>
      <c r="G37" s="66"/>
      <c r="H37" s="64"/>
      <c r="I37" s="64"/>
      <c r="J37" s="65"/>
      <c r="K37" s="65"/>
      <c r="L37" s="65"/>
      <c r="N37" s="65"/>
      <c r="O37" s="64"/>
      <c r="P37" s="66"/>
      <c r="Q37" s="64"/>
      <c r="R37" s="67"/>
      <c r="S37" s="64"/>
      <c r="T37" s="65"/>
      <c r="U37" s="64"/>
      <c r="V37" s="65"/>
    </row>
    <row r="38" spans="2:22">
      <c r="C38" s="3"/>
      <c r="D38" s="64"/>
      <c r="E38" s="65"/>
      <c r="F38" s="64"/>
      <c r="G38" s="66"/>
      <c r="H38" s="64"/>
      <c r="I38" s="64"/>
      <c r="J38" s="65"/>
      <c r="K38" s="65"/>
      <c r="L38" s="65"/>
      <c r="N38" s="65"/>
      <c r="O38" s="64"/>
      <c r="P38" s="66"/>
      <c r="Q38" s="64"/>
      <c r="R38" s="67"/>
      <c r="S38" s="64"/>
      <c r="T38" s="65"/>
      <c r="U38" s="64"/>
      <c r="V38" s="65"/>
    </row>
    <row r="39" spans="2:22">
      <c r="D39" s="64"/>
      <c r="E39" s="65"/>
      <c r="F39" s="64"/>
      <c r="G39" s="66"/>
      <c r="H39" s="64"/>
      <c r="I39" s="64"/>
      <c r="J39" s="65"/>
      <c r="K39" s="65"/>
      <c r="L39" s="65"/>
      <c r="N39" s="65"/>
      <c r="O39" s="64"/>
      <c r="P39" s="66"/>
      <c r="Q39" s="64"/>
      <c r="R39" s="67"/>
      <c r="S39" s="64"/>
      <c r="T39" s="65"/>
      <c r="U39" s="64"/>
      <c r="V39" s="65"/>
    </row>
    <row r="40" spans="2:22">
      <c r="C40" s="3"/>
      <c r="D40" s="64"/>
      <c r="E40" s="65"/>
      <c r="F40" s="64"/>
      <c r="G40" s="66"/>
      <c r="H40" s="64"/>
      <c r="I40" s="64"/>
      <c r="J40" s="65"/>
      <c r="K40" s="65"/>
      <c r="L40" s="65"/>
      <c r="N40" s="65"/>
      <c r="O40" s="64"/>
      <c r="P40" s="66"/>
      <c r="Q40" s="64"/>
      <c r="R40" s="67"/>
      <c r="S40" s="64"/>
      <c r="T40" s="65"/>
      <c r="U40" s="64"/>
      <c r="V40" s="65"/>
    </row>
    <row r="41" spans="2:22">
      <c r="D41" s="64"/>
      <c r="E41" s="65"/>
      <c r="F41" s="64"/>
      <c r="G41" s="66"/>
      <c r="H41" s="64"/>
      <c r="I41" s="64"/>
      <c r="J41" s="65"/>
      <c r="K41" s="65"/>
      <c r="L41" s="65"/>
      <c r="N41" s="65"/>
      <c r="O41" s="64"/>
      <c r="P41" s="66"/>
      <c r="Q41" s="64"/>
      <c r="R41" s="67"/>
      <c r="S41" s="64"/>
      <c r="T41" s="65"/>
      <c r="U41" s="64"/>
      <c r="V41" s="65"/>
    </row>
    <row r="42" spans="2:22">
      <c r="C42" s="3"/>
      <c r="D42" s="64"/>
      <c r="E42" s="65"/>
      <c r="F42" s="64"/>
      <c r="G42" s="66"/>
      <c r="H42" s="64"/>
      <c r="I42" s="64"/>
      <c r="J42" s="65"/>
      <c r="K42" s="65"/>
      <c r="L42" s="65"/>
      <c r="N42" s="65"/>
      <c r="O42" s="64"/>
      <c r="P42" s="66"/>
      <c r="Q42" s="64"/>
      <c r="R42" s="67"/>
      <c r="S42" s="64"/>
      <c r="T42" s="65"/>
      <c r="U42" s="64"/>
      <c r="V42" s="65"/>
    </row>
    <row r="43" spans="2:22">
      <c r="D43" s="64"/>
      <c r="E43" s="65"/>
      <c r="F43" s="64"/>
      <c r="G43" s="66"/>
      <c r="H43" s="64"/>
      <c r="I43" s="64"/>
      <c r="J43" s="65"/>
      <c r="K43" s="65"/>
      <c r="L43" s="65"/>
      <c r="N43" s="65"/>
      <c r="O43" s="64"/>
      <c r="P43" s="66"/>
      <c r="Q43" s="64"/>
      <c r="R43" s="67"/>
      <c r="S43" s="64"/>
      <c r="T43" s="65"/>
      <c r="U43" s="64"/>
      <c r="V43" s="65"/>
    </row>
    <row r="44" spans="2:22">
      <c r="D44" s="64"/>
      <c r="E44" s="65"/>
      <c r="F44" s="64"/>
      <c r="G44" s="66"/>
      <c r="H44" s="64"/>
      <c r="I44" s="64"/>
      <c r="J44" s="65"/>
      <c r="K44" s="65"/>
      <c r="L44" s="65"/>
      <c r="N44" s="65"/>
      <c r="O44" s="64"/>
      <c r="P44" s="66"/>
      <c r="Q44" s="64"/>
      <c r="R44" s="67"/>
      <c r="S44" s="64"/>
      <c r="T44" s="65"/>
      <c r="U44" s="64"/>
      <c r="V44" s="65"/>
    </row>
    <row r="45" spans="2:22">
      <c r="D45" s="64"/>
      <c r="E45" s="65"/>
      <c r="F45" s="64"/>
      <c r="G45" s="66"/>
      <c r="H45" s="64"/>
      <c r="I45" s="64"/>
      <c r="J45" s="65"/>
      <c r="K45" s="65"/>
      <c r="L45" s="65"/>
      <c r="N45" s="65"/>
      <c r="O45" s="64"/>
      <c r="P45" s="66"/>
      <c r="Q45" s="64"/>
      <c r="R45" s="67"/>
      <c r="S45" s="64"/>
      <c r="T45" s="65"/>
      <c r="U45" s="64"/>
      <c r="V45" s="65"/>
    </row>
    <row r="46" spans="2:22" ht="17.25">
      <c r="B46" s="50"/>
      <c r="D46" s="64"/>
      <c r="E46" s="65"/>
      <c r="F46" s="64"/>
      <c r="G46" s="66"/>
      <c r="H46" s="64"/>
      <c r="I46" s="64"/>
      <c r="J46" s="65"/>
      <c r="K46" s="65"/>
      <c r="L46" s="64"/>
      <c r="N46" s="65"/>
      <c r="O46" s="64"/>
      <c r="P46" s="66"/>
      <c r="Q46" s="64"/>
      <c r="R46" s="67"/>
      <c r="S46" s="64"/>
      <c r="T46" s="65"/>
      <c r="U46" s="64"/>
      <c r="V46" s="65"/>
    </row>
    <row r="47" spans="2:22">
      <c r="B47" s="51"/>
      <c r="C47" s="51"/>
      <c r="D47" s="64"/>
      <c r="E47" s="65"/>
      <c r="F47" s="64"/>
      <c r="G47" s="66"/>
      <c r="H47" s="64"/>
      <c r="I47" s="64"/>
      <c r="J47" s="65"/>
      <c r="K47" s="65"/>
      <c r="L47" s="65"/>
      <c r="M47" s="51"/>
      <c r="N47" s="51"/>
      <c r="O47" s="51"/>
      <c r="P47" s="3"/>
    </row>
    <row r="48" spans="2:22">
      <c r="C48" s="2"/>
      <c r="D48" s="64"/>
      <c r="E48" s="65"/>
      <c r="F48" s="64"/>
      <c r="G48" s="66"/>
      <c r="H48" s="64"/>
      <c r="I48" s="64"/>
      <c r="J48" s="65"/>
      <c r="K48" s="65"/>
      <c r="L48" s="65"/>
      <c r="M48" s="2"/>
      <c r="N48" s="2"/>
      <c r="O48" s="2"/>
      <c r="P48" s="3"/>
    </row>
    <row r="49" spans="3:16">
      <c r="C49" s="2"/>
      <c r="D49" s="64"/>
      <c r="E49" s="65"/>
      <c r="F49" s="64"/>
      <c r="G49" s="66"/>
      <c r="H49" s="64"/>
      <c r="I49" s="64"/>
      <c r="J49" s="65"/>
      <c r="K49" s="65"/>
      <c r="L49" s="65"/>
      <c r="M49" s="2"/>
      <c r="N49" s="2"/>
      <c r="O49" s="2"/>
      <c r="P49" s="3"/>
    </row>
    <row r="50" spans="3:16"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3"/>
    </row>
    <row r="51" spans="3:16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3"/>
    </row>
    <row r="52" spans="3:16"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3"/>
    </row>
    <row r="53" spans="3:16"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3"/>
    </row>
    <row r="54" spans="3:16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3"/>
    </row>
    <row r="55" spans="3:16"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3"/>
    </row>
    <row r="56" spans="3:16"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3"/>
    </row>
    <row r="57" spans="3:16"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3"/>
    </row>
    <row r="58" spans="3:16"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3"/>
    </row>
    <row r="59" spans="3:16"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3"/>
    </row>
    <row r="60" spans="3:16"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3"/>
    </row>
    <row r="61" spans="3:16"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3"/>
    </row>
    <row r="62" spans="3:16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3"/>
    </row>
    <row r="63" spans="3:16"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3"/>
    </row>
    <row r="64" spans="3:16"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</row>
    <row r="66" spans="2:15" ht="17.25">
      <c r="B66" s="50"/>
    </row>
    <row r="67" spans="2:15">
      <c r="B67" s="51"/>
      <c r="C67" s="51"/>
      <c r="D67" s="51"/>
      <c r="E67" s="51"/>
      <c r="F67" s="51"/>
      <c r="G67" s="51"/>
      <c r="H67" s="51"/>
      <c r="I67" s="51"/>
      <c r="J67" s="51"/>
      <c r="K67" s="51"/>
      <c r="L67" s="51"/>
      <c r="M67" s="51"/>
      <c r="N67" s="51"/>
      <c r="O67" s="51"/>
    </row>
    <row r="68" spans="2:15"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</row>
    <row r="69" spans="2:15"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</row>
    <row r="70" spans="2:15"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</row>
    <row r="71" spans="2:15"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</row>
    <row r="72" spans="2:15"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</row>
    <row r="73" spans="2:15"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</row>
    <row r="74" spans="2:15"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</row>
    <row r="75" spans="2:15"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</row>
    <row r="76" spans="2:15"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</row>
    <row r="77" spans="2:15"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</row>
    <row r="78" spans="2:15"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</row>
    <row r="79" spans="2:15"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</row>
    <row r="80" spans="2:15"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</row>
    <row r="81" spans="2:15"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</row>
    <row r="82" spans="2:15"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</row>
    <row r="83" spans="2:15"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</row>
    <row r="84" spans="2:15"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</row>
    <row r="86" spans="2:15">
      <c r="B86" s="4"/>
    </row>
    <row r="87" spans="2:15" ht="17.25">
      <c r="B87" s="50"/>
    </row>
    <row r="88" spans="2:15">
      <c r="B88" s="51"/>
      <c r="C88" s="51"/>
      <c r="D88" s="51"/>
      <c r="E88" s="51"/>
      <c r="F88" s="51"/>
      <c r="G88" s="51"/>
      <c r="H88" s="51"/>
      <c r="I88" s="51"/>
      <c r="J88" s="51"/>
      <c r="K88" s="51"/>
      <c r="L88" s="51"/>
    </row>
    <row r="89" spans="2:15">
      <c r="C89" s="3"/>
      <c r="D89" s="3"/>
      <c r="E89" s="3"/>
      <c r="F89" s="3"/>
      <c r="H89" s="3"/>
      <c r="I89" s="3"/>
      <c r="J89" s="3"/>
      <c r="K89" s="3"/>
    </row>
    <row r="90" spans="2:15">
      <c r="C90" s="3"/>
      <c r="D90" s="3"/>
      <c r="E90" s="3"/>
      <c r="F90" s="3"/>
      <c r="H90" s="3"/>
      <c r="I90" s="3"/>
      <c r="J90" s="3"/>
      <c r="K90" s="3"/>
    </row>
    <row r="91" spans="2:15">
      <c r="C91" s="3"/>
      <c r="D91" s="3"/>
      <c r="E91" s="3"/>
      <c r="F91" s="3"/>
      <c r="H91" s="3"/>
      <c r="I91" s="3"/>
      <c r="J91" s="3"/>
      <c r="K91" s="3"/>
    </row>
    <row r="92" spans="2:15">
      <c r="C92" s="3"/>
      <c r="D92" s="3"/>
      <c r="E92" s="3"/>
      <c r="F92" s="3"/>
      <c r="H92" s="3"/>
      <c r="I92" s="3"/>
      <c r="J92" s="3"/>
      <c r="K92" s="3"/>
    </row>
    <row r="93" spans="2:15">
      <c r="C93" s="3"/>
      <c r="D93" s="3"/>
      <c r="E93" s="3"/>
      <c r="F93" s="3"/>
      <c r="H93" s="3"/>
      <c r="I93" s="3"/>
      <c r="J93" s="3"/>
      <c r="K93" s="3"/>
    </row>
    <row r="94" spans="2:15">
      <c r="C94" s="3"/>
      <c r="D94" s="3"/>
      <c r="E94" s="3"/>
      <c r="F94" s="3"/>
      <c r="H94" s="3"/>
      <c r="I94" s="3"/>
      <c r="J94" s="3"/>
      <c r="K94" s="3"/>
    </row>
    <row r="95" spans="2:15">
      <c r="C95" s="3"/>
      <c r="D95" s="3"/>
      <c r="E95" s="3"/>
      <c r="F95" s="3"/>
      <c r="H95" s="3"/>
      <c r="I95" s="3"/>
      <c r="J95" s="3"/>
      <c r="K95" s="3"/>
    </row>
    <row r="96" spans="2:15">
      <c r="C96" s="3"/>
      <c r="D96" s="3"/>
      <c r="E96" s="3"/>
      <c r="F96" s="3"/>
      <c r="H96" s="3"/>
      <c r="I96" s="3"/>
      <c r="J96" s="3"/>
      <c r="K96" s="3"/>
    </row>
    <row r="97" spans="2:12">
      <c r="C97" s="3"/>
      <c r="D97" s="3"/>
      <c r="E97" s="3"/>
      <c r="F97" s="3"/>
      <c r="H97" s="3"/>
      <c r="I97" s="3"/>
      <c r="J97" s="3"/>
      <c r="K97" s="3"/>
    </row>
    <row r="98" spans="2:12">
      <c r="C98" s="3"/>
      <c r="D98" s="3"/>
      <c r="E98" s="3"/>
      <c r="F98" s="3"/>
      <c r="H98" s="3"/>
      <c r="I98" s="3"/>
      <c r="J98" s="3"/>
      <c r="K98" s="3"/>
    </row>
    <row r="99" spans="2:12">
      <c r="C99" s="3"/>
      <c r="D99" s="3"/>
      <c r="E99" s="3"/>
      <c r="F99" s="3"/>
      <c r="H99" s="3"/>
      <c r="I99" s="3"/>
      <c r="J99" s="3"/>
      <c r="K99" s="3"/>
    </row>
    <row r="100" spans="2:12">
      <c r="C100" s="3"/>
      <c r="D100" s="3"/>
      <c r="E100" s="3"/>
      <c r="F100" s="3"/>
      <c r="H100" s="3"/>
      <c r="I100" s="3"/>
      <c r="J100" s="3"/>
      <c r="K100" s="3"/>
    </row>
    <row r="101" spans="2:12">
      <c r="C101" s="3"/>
      <c r="D101" s="3"/>
      <c r="E101" s="3"/>
      <c r="F101" s="3"/>
      <c r="H101" s="3"/>
      <c r="I101" s="3"/>
      <c r="J101" s="3"/>
      <c r="K101" s="3"/>
    </row>
    <row r="102" spans="2:12">
      <c r="C102" s="3"/>
      <c r="D102" s="3"/>
      <c r="E102" s="3"/>
      <c r="F102" s="3"/>
      <c r="H102" s="3"/>
      <c r="I102" s="3"/>
      <c r="J102" s="3"/>
      <c r="K102" s="3"/>
    </row>
    <row r="103" spans="2:12">
      <c r="C103" s="3"/>
      <c r="D103" s="3"/>
      <c r="E103" s="3"/>
      <c r="F103" s="3"/>
      <c r="H103" s="3"/>
      <c r="I103" s="3"/>
      <c r="J103" s="3"/>
      <c r="K103" s="3"/>
    </row>
    <row r="104" spans="2:12">
      <c r="C104" s="3"/>
      <c r="D104" s="3"/>
      <c r="E104" s="3"/>
      <c r="F104" s="3"/>
      <c r="H104" s="3"/>
      <c r="I104" s="3"/>
      <c r="J104" s="3"/>
      <c r="K104" s="3"/>
    </row>
    <row r="105" spans="2:12">
      <c r="C105" s="3"/>
      <c r="D105" s="3"/>
      <c r="E105" s="3"/>
      <c r="F105" s="3"/>
      <c r="H105" s="3"/>
      <c r="I105" s="3"/>
      <c r="J105" s="3"/>
      <c r="K105" s="3"/>
    </row>
    <row r="112" spans="2:12">
      <c r="B112" s="51"/>
      <c r="C112" s="51"/>
      <c r="D112" s="51"/>
      <c r="E112" s="51"/>
      <c r="F112" s="51"/>
      <c r="G112" s="51"/>
      <c r="H112" s="51"/>
      <c r="I112" s="51"/>
      <c r="J112" s="51"/>
      <c r="K112" s="51"/>
      <c r="L112" s="51"/>
    </row>
    <row r="113" spans="2:15">
      <c r="C113" s="2"/>
      <c r="D113" s="2"/>
      <c r="E113" s="2"/>
      <c r="F113" s="2"/>
      <c r="G113" s="2"/>
      <c r="H113" s="2"/>
      <c r="I113" s="2"/>
      <c r="J113" s="2"/>
    </row>
    <row r="115" spans="2:15" ht="17.25">
      <c r="B115" s="50"/>
    </row>
    <row r="116" spans="2:15">
      <c r="B116" s="51"/>
      <c r="C116" s="51"/>
      <c r="D116" s="51"/>
      <c r="E116" s="51"/>
      <c r="F116" s="51"/>
      <c r="G116" s="51"/>
      <c r="H116" s="51"/>
      <c r="I116" s="51"/>
      <c r="J116" s="51"/>
      <c r="K116" s="51"/>
      <c r="L116" s="51"/>
      <c r="M116" s="51"/>
      <c r="N116" s="51"/>
      <c r="O116" s="51"/>
    </row>
    <row r="117" spans="2:15"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</row>
    <row r="118" spans="2:15"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</row>
    <row r="119" spans="2:15"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</row>
    <row r="120" spans="2:15"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</row>
    <row r="121" spans="2:15"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</row>
    <row r="122" spans="2:15"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</row>
    <row r="123" spans="2:15"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</row>
    <row r="124" spans="2:15"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</row>
    <row r="125" spans="2:15"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</row>
    <row r="126" spans="2:15"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</row>
    <row r="127" spans="2:15"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</row>
    <row r="128" spans="2:15"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</row>
    <row r="129" spans="2:15"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</row>
    <row r="130" spans="2:15"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</row>
    <row r="131" spans="2:15"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</row>
    <row r="132" spans="2:15"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</row>
    <row r="133" spans="2:15"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</row>
    <row r="135" spans="2:15" ht="17.25">
      <c r="B135" s="50"/>
    </row>
    <row r="136" spans="2:15">
      <c r="B136" s="51"/>
      <c r="C136" s="51"/>
      <c r="D136" s="51"/>
      <c r="E136" s="51"/>
      <c r="F136" s="51"/>
      <c r="G136" s="51"/>
      <c r="H136" s="51"/>
    </row>
    <row r="137" spans="2:15">
      <c r="C137" s="2"/>
      <c r="D137" s="2"/>
      <c r="E137" s="2"/>
      <c r="F137" s="52"/>
      <c r="G137" s="2"/>
      <c r="H137" s="2"/>
    </row>
    <row r="138" spans="2:15">
      <c r="C138" s="2"/>
      <c r="D138" s="2"/>
      <c r="E138" s="2"/>
      <c r="F138" s="52"/>
      <c r="G138" s="2"/>
      <c r="H138" s="2"/>
    </row>
    <row r="139" spans="2:15">
      <c r="C139" s="2"/>
      <c r="D139" s="2"/>
      <c r="E139" s="2"/>
      <c r="F139" s="52"/>
      <c r="G139" s="2"/>
      <c r="H139" s="2"/>
    </row>
    <row r="140" spans="2:15">
      <c r="C140" s="2"/>
      <c r="D140" s="2"/>
      <c r="E140" s="2"/>
      <c r="F140" s="52"/>
      <c r="G140" s="2"/>
      <c r="H140" s="2"/>
    </row>
    <row r="141" spans="2:15">
      <c r="C141" s="2"/>
      <c r="D141" s="2"/>
      <c r="E141" s="2"/>
      <c r="F141" s="52"/>
      <c r="G141" s="2"/>
      <c r="H141" s="2"/>
    </row>
    <row r="142" spans="2:15">
      <c r="C142" s="2"/>
      <c r="D142" s="2"/>
      <c r="E142" s="2"/>
      <c r="F142" s="52"/>
      <c r="G142" s="2"/>
      <c r="H142" s="2"/>
    </row>
    <row r="143" spans="2:15">
      <c r="C143" s="2"/>
      <c r="D143" s="2"/>
      <c r="E143" s="2"/>
      <c r="F143" s="52"/>
      <c r="G143" s="2"/>
      <c r="H143" s="2"/>
    </row>
    <row r="144" spans="2:15">
      <c r="C144" s="2"/>
      <c r="D144" s="2"/>
      <c r="E144" s="2"/>
      <c r="F144" s="52"/>
      <c r="G144" s="2"/>
      <c r="H144" s="2"/>
    </row>
    <row r="145" spans="3:8">
      <c r="C145" s="2"/>
      <c r="D145" s="2"/>
      <c r="E145" s="2"/>
      <c r="F145" s="52"/>
      <c r="G145" s="2"/>
      <c r="H145" s="2"/>
    </row>
    <row r="146" spans="3:8">
      <c r="C146" s="2"/>
      <c r="D146" s="2"/>
      <c r="E146" s="2"/>
      <c r="F146" s="52"/>
      <c r="G146" s="2"/>
      <c r="H146" s="2"/>
    </row>
    <row r="147" spans="3:8">
      <c r="C147" s="2"/>
      <c r="D147" s="2"/>
      <c r="E147" s="2"/>
      <c r="F147" s="52"/>
      <c r="G147" s="2"/>
      <c r="H147" s="2"/>
    </row>
    <row r="148" spans="3:8">
      <c r="C148" s="2"/>
      <c r="D148" s="2"/>
      <c r="E148" s="2"/>
      <c r="F148" s="52"/>
      <c r="G148" s="2"/>
      <c r="H148" s="2"/>
    </row>
    <row r="149" spans="3:8">
      <c r="C149" s="2"/>
      <c r="D149" s="2"/>
      <c r="E149" s="2"/>
      <c r="F149" s="52"/>
      <c r="G149" s="2"/>
      <c r="H149" s="2"/>
    </row>
    <row r="150" spans="3:8">
      <c r="C150" s="2"/>
      <c r="D150" s="2"/>
      <c r="E150" s="2"/>
      <c r="F150" s="52"/>
      <c r="G150" s="2"/>
      <c r="H150" s="2"/>
    </row>
    <row r="151" spans="3:8">
      <c r="C151" s="2"/>
      <c r="D151" s="2"/>
      <c r="E151" s="2"/>
      <c r="F151" s="52"/>
      <c r="G151" s="2"/>
      <c r="H151" s="2"/>
    </row>
    <row r="152" spans="3:8">
      <c r="C152" s="2"/>
      <c r="D152" s="2"/>
      <c r="E152" s="2"/>
      <c r="F152" s="52"/>
      <c r="G152" s="2"/>
      <c r="H152" s="2"/>
    </row>
    <row r="153" spans="3:8">
      <c r="C153" s="2"/>
      <c r="D153" s="2"/>
      <c r="E153" s="2"/>
      <c r="F153" s="52"/>
      <c r="G153" s="2"/>
      <c r="H153" s="2"/>
    </row>
    <row r="158" spans="3:8">
      <c r="C158" s="3"/>
    </row>
    <row r="160" spans="3:8">
      <c r="C160" s="3"/>
    </row>
    <row r="161" spans="2:5">
      <c r="C161" s="3"/>
    </row>
    <row r="164" spans="2:5" ht="17.25">
      <c r="B164" s="50"/>
    </row>
    <row r="165" spans="2:5">
      <c r="B165" s="51"/>
      <c r="C165" s="51"/>
      <c r="D165" s="51"/>
      <c r="E165" s="51"/>
    </row>
    <row r="166" spans="2:5">
      <c r="B166" s="5"/>
    </row>
    <row r="167" spans="2:5">
      <c r="B167" s="5"/>
      <c r="E167" s="2"/>
    </row>
    <row r="168" spans="2:5">
      <c r="B168" s="5"/>
      <c r="E168" s="2"/>
    </row>
    <row r="169" spans="2:5">
      <c r="B169" s="5"/>
      <c r="E169" s="2"/>
    </row>
    <row r="170" spans="2:5">
      <c r="B170" s="5"/>
      <c r="E170" s="2"/>
    </row>
    <row r="171" spans="2:5">
      <c r="B171" s="5"/>
      <c r="E171" s="2"/>
    </row>
    <row r="172" spans="2:5">
      <c r="B172" s="5"/>
      <c r="E172" s="2"/>
    </row>
    <row r="173" spans="2:5">
      <c r="B173" s="5"/>
      <c r="E173" s="2"/>
    </row>
    <row r="174" spans="2:5">
      <c r="B174" s="5"/>
      <c r="E174" s="2"/>
    </row>
    <row r="175" spans="2:5">
      <c r="B175" s="5"/>
      <c r="E175" s="2"/>
    </row>
    <row r="176" spans="2:5">
      <c r="B176" s="5"/>
      <c r="E176" s="2"/>
    </row>
    <row r="177" spans="2:8">
      <c r="B177" s="5"/>
      <c r="E177" s="2"/>
    </row>
    <row r="187" spans="2:8">
      <c r="H187" s="8"/>
    </row>
    <row r="188" spans="2:8">
      <c r="H188" s="7"/>
    </row>
    <row r="189" spans="2:8">
      <c r="H189" s="7"/>
    </row>
    <row r="190" spans="2:8">
      <c r="H190" s="7"/>
    </row>
    <row r="191" spans="2:8">
      <c r="H191" s="7"/>
    </row>
    <row r="192" spans="2:8">
      <c r="H192" s="7"/>
    </row>
    <row r="193" spans="8:8">
      <c r="H193" s="7"/>
    </row>
    <row r="194" spans="8:8">
      <c r="H194" s="7"/>
    </row>
    <row r="211" spans="2:8">
      <c r="B211" s="11"/>
    </row>
    <row r="212" spans="2:8">
      <c r="B212" s="11"/>
    </row>
    <row r="215" spans="2:8">
      <c r="F215" s="9"/>
      <c r="G215" s="10"/>
      <c r="H215" s="7"/>
    </row>
    <row r="216" spans="2:8">
      <c r="F216" s="9"/>
      <c r="G216" s="10"/>
      <c r="H216" s="7"/>
    </row>
    <row r="217" spans="2:8">
      <c r="F217" s="9"/>
      <c r="G217" s="10"/>
      <c r="H217" s="7"/>
    </row>
    <row r="218" spans="2:8">
      <c r="F218" s="9"/>
      <c r="G218" s="10"/>
      <c r="H218" s="7"/>
    </row>
    <row r="219" spans="2:8">
      <c r="F219" s="9"/>
      <c r="G219" s="10"/>
      <c r="H219" s="7"/>
    </row>
    <row r="220" spans="2:8">
      <c r="F220" s="9"/>
      <c r="G220" s="10"/>
      <c r="H220" s="7"/>
    </row>
    <row r="221" spans="2:8">
      <c r="F221" s="9"/>
      <c r="G221" s="10"/>
      <c r="H221" s="7"/>
    </row>
    <row r="222" spans="2:8">
      <c r="F222" s="9"/>
      <c r="G222" s="10"/>
      <c r="H222" s="7"/>
    </row>
    <row r="223" spans="2:8">
      <c r="F223" s="9"/>
      <c r="G223" s="10"/>
      <c r="H223" s="7"/>
    </row>
  </sheetData>
  <sortState xmlns:xlrd2="http://schemas.microsoft.com/office/spreadsheetml/2017/richdata2" ref="B6:G22">
    <sortCondition ref="G6:G22"/>
  </sortState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E3D5D-97D8-46FA-9CDC-E1C57B768A48}">
  <dimension ref="B2:P223"/>
  <sheetViews>
    <sheetView topLeftCell="A175" zoomScale="93" zoomScaleNormal="71" workbookViewId="0">
      <selection activeCell="I192" sqref="I192"/>
    </sheetView>
  </sheetViews>
  <sheetFormatPr defaultColWidth="9.140625" defaultRowHeight="14.25"/>
  <cols>
    <col min="1" max="1" width="9" style="1" bestFit="1" customWidth="1"/>
    <col min="2" max="2" width="28.7109375" style="1" bestFit="1" customWidth="1"/>
    <col min="3" max="3" width="14.7109375" style="1" bestFit="1" customWidth="1"/>
    <col min="4" max="4" width="27.28515625" style="1" bestFit="1" customWidth="1"/>
    <col min="5" max="5" width="15.140625" style="1" customWidth="1"/>
    <col min="6" max="6" width="27.7109375" style="1" customWidth="1"/>
    <col min="7" max="7" width="11.85546875" style="1" customWidth="1"/>
    <col min="8" max="8" width="14.140625" style="1" bestFit="1" customWidth="1"/>
    <col min="9" max="9" width="12.28515625" style="1" bestFit="1" customWidth="1"/>
    <col min="10" max="10" width="9.28515625" style="1" bestFit="1" customWidth="1"/>
    <col min="11" max="11" width="14.140625" style="1" bestFit="1" customWidth="1"/>
    <col min="12" max="12" width="9.140625" style="1"/>
    <col min="13" max="13" width="9.7109375" style="1" bestFit="1" customWidth="1"/>
    <col min="14" max="14" width="9.140625" style="1"/>
    <col min="15" max="15" width="12.28515625" style="1" customWidth="1"/>
    <col min="16" max="16" width="14.140625" style="1" bestFit="1" customWidth="1"/>
    <col min="17" max="16384" width="9.140625" style="1"/>
  </cols>
  <sheetData>
    <row r="2" spans="2:14" ht="17.25">
      <c r="B2" s="14" t="s">
        <v>31</v>
      </c>
    </row>
    <row r="3" spans="2:14">
      <c r="B3" s="12" t="s">
        <v>1</v>
      </c>
      <c r="C3" s="12" t="s">
        <v>14</v>
      </c>
      <c r="D3" s="12" t="s">
        <v>32</v>
      </c>
      <c r="E3" s="12" t="s">
        <v>33</v>
      </c>
      <c r="F3" s="12" t="s">
        <v>34</v>
      </c>
      <c r="G3" s="12" t="s">
        <v>35</v>
      </c>
      <c r="H3" s="12" t="s">
        <v>36</v>
      </c>
      <c r="I3" s="12" t="s">
        <v>37</v>
      </c>
      <c r="J3" s="12" t="s">
        <v>38</v>
      </c>
      <c r="K3" s="12" t="s">
        <v>39</v>
      </c>
      <c r="L3" s="12" t="s">
        <v>40</v>
      </c>
      <c r="M3" s="12" t="s">
        <v>18</v>
      </c>
      <c r="N3" s="12" t="s">
        <v>41</v>
      </c>
    </row>
    <row r="4" spans="2:14">
      <c r="B4" s="1" t="s">
        <v>8</v>
      </c>
      <c r="C4" s="17">
        <v>73</v>
      </c>
      <c r="D4" s="17">
        <v>73</v>
      </c>
      <c r="E4" s="17">
        <v>6.2</v>
      </c>
      <c r="F4" s="17">
        <v>9.6</v>
      </c>
      <c r="G4" s="17">
        <v>3.6</v>
      </c>
      <c r="H4" s="17">
        <v>5</v>
      </c>
      <c r="I4" s="17">
        <v>2.5</v>
      </c>
      <c r="J4" s="17">
        <v>1.2</v>
      </c>
      <c r="K4" s="17">
        <v>0.8</v>
      </c>
      <c r="L4" s="17">
        <v>1.7</v>
      </c>
      <c r="M4" s="17">
        <v>2.4</v>
      </c>
      <c r="N4" s="17">
        <v>19.399999999999999</v>
      </c>
    </row>
    <row r="5" spans="2:14">
      <c r="B5" s="1" t="s">
        <v>27</v>
      </c>
      <c r="C5" s="17">
        <v>76</v>
      </c>
      <c r="D5" s="17">
        <v>51</v>
      </c>
      <c r="E5" s="17">
        <v>9.1</v>
      </c>
      <c r="F5" s="17">
        <v>7.5</v>
      </c>
      <c r="G5" s="17">
        <v>4.2</v>
      </c>
      <c r="H5" s="17">
        <v>4.0999999999999996</v>
      </c>
      <c r="I5" s="17">
        <v>4.8</v>
      </c>
      <c r="J5" s="17">
        <v>0.9</v>
      </c>
      <c r="K5" s="17">
        <v>0.4</v>
      </c>
      <c r="L5" s="17">
        <v>2.9</v>
      </c>
      <c r="M5" s="17">
        <v>3.2</v>
      </c>
      <c r="N5" s="17">
        <v>22.2</v>
      </c>
    </row>
    <row r="6" spans="2:14">
      <c r="B6" s="1" t="s">
        <v>20</v>
      </c>
      <c r="C6" s="17">
        <v>64</v>
      </c>
      <c r="D6" s="17">
        <v>64</v>
      </c>
      <c r="E6" s="17">
        <v>12.2</v>
      </c>
      <c r="F6" s="17">
        <v>7.7</v>
      </c>
      <c r="G6" s="17">
        <v>4.9000000000000004</v>
      </c>
      <c r="H6" s="17">
        <v>5.5</v>
      </c>
      <c r="I6" s="17">
        <v>6.6</v>
      </c>
      <c r="J6" s="17">
        <v>1.4</v>
      </c>
      <c r="K6" s="17">
        <v>0.4</v>
      </c>
      <c r="L6" s="17">
        <v>3.4</v>
      </c>
      <c r="M6" s="17">
        <v>2.1</v>
      </c>
      <c r="N6" s="17">
        <v>26.5</v>
      </c>
    </row>
    <row r="7" spans="2:14">
      <c r="B7" s="1" t="s">
        <v>17</v>
      </c>
      <c r="C7" s="17">
        <v>82</v>
      </c>
      <c r="D7" s="17">
        <v>80</v>
      </c>
      <c r="E7" s="17">
        <v>0</v>
      </c>
      <c r="F7" s="17">
        <v>7.5</v>
      </c>
      <c r="G7" s="17">
        <v>2.6</v>
      </c>
      <c r="H7" s="17">
        <v>12.4</v>
      </c>
      <c r="I7" s="17">
        <v>3.4</v>
      </c>
      <c r="J7" s="17">
        <v>1</v>
      </c>
      <c r="K7" s="17">
        <v>1.1000000000000001</v>
      </c>
      <c r="L7" s="17">
        <v>1.4</v>
      </c>
      <c r="M7" s="17">
        <v>4.5</v>
      </c>
      <c r="N7" s="17">
        <v>10.199999999999999</v>
      </c>
    </row>
    <row r="8" spans="2:14">
      <c r="B8" s="1" t="s">
        <v>24</v>
      </c>
      <c r="C8" s="17">
        <v>63</v>
      </c>
      <c r="D8" s="17">
        <v>15</v>
      </c>
      <c r="E8" s="17">
        <v>5.6</v>
      </c>
      <c r="F8" s="17">
        <v>5.2</v>
      </c>
      <c r="G8" s="17">
        <v>1.6</v>
      </c>
      <c r="H8" s="17">
        <v>9.3000000000000007</v>
      </c>
      <c r="I8" s="17">
        <v>2.4</v>
      </c>
      <c r="J8" s="17">
        <v>1.8</v>
      </c>
      <c r="K8" s="17">
        <v>0.7</v>
      </c>
      <c r="L8" s="17">
        <v>1</v>
      </c>
      <c r="M8" s="17">
        <v>2.1</v>
      </c>
      <c r="N8" s="17">
        <v>13.3</v>
      </c>
    </row>
    <row r="9" spans="2:14">
      <c r="B9" s="1" t="s">
        <v>10</v>
      </c>
      <c r="C9" s="17">
        <v>46</v>
      </c>
      <c r="D9" s="17">
        <v>44</v>
      </c>
      <c r="E9" s="17">
        <v>1.5</v>
      </c>
      <c r="F9" s="17">
        <v>5.5</v>
      </c>
      <c r="G9" s="17">
        <v>2.5</v>
      </c>
      <c r="H9" s="17">
        <v>9.1</v>
      </c>
      <c r="I9" s="17">
        <v>8.6999999999999993</v>
      </c>
      <c r="J9" s="17">
        <v>1.7</v>
      </c>
      <c r="K9" s="17">
        <v>1.4</v>
      </c>
      <c r="L9" s="17">
        <v>3.8</v>
      </c>
      <c r="M9" s="17">
        <v>3.7</v>
      </c>
      <c r="N9" s="17">
        <v>9.4</v>
      </c>
    </row>
    <row r="10" spans="2:14">
      <c r="B10" s="1" t="s">
        <v>13</v>
      </c>
      <c r="C10" s="17">
        <v>63</v>
      </c>
      <c r="D10" s="17">
        <v>5</v>
      </c>
      <c r="E10" s="17">
        <v>5.4</v>
      </c>
      <c r="F10" s="17">
        <v>5.6</v>
      </c>
      <c r="G10" s="17">
        <v>2.1</v>
      </c>
      <c r="H10" s="17">
        <v>5.8</v>
      </c>
      <c r="I10" s="17">
        <v>1.8</v>
      </c>
      <c r="J10" s="17">
        <v>1.1000000000000001</v>
      </c>
      <c r="K10" s="17">
        <v>0.2</v>
      </c>
      <c r="L10" s="17">
        <v>1.1000000000000001</v>
      </c>
      <c r="M10" s="17">
        <v>2.7</v>
      </c>
      <c r="N10" s="17">
        <v>13.4</v>
      </c>
    </row>
    <row r="11" spans="2:14">
      <c r="B11" s="1" t="s">
        <v>15</v>
      </c>
      <c r="C11" s="17">
        <v>71</v>
      </c>
      <c r="D11" s="17">
        <v>16</v>
      </c>
      <c r="E11" s="17">
        <v>3.5</v>
      </c>
      <c r="F11" s="17">
        <v>6.5</v>
      </c>
      <c r="G11" s="17">
        <v>1.7</v>
      </c>
      <c r="H11" s="17">
        <v>7.1</v>
      </c>
      <c r="I11" s="17">
        <v>1.8</v>
      </c>
      <c r="J11" s="17">
        <v>2.8</v>
      </c>
      <c r="K11" s="17">
        <v>0.6</v>
      </c>
      <c r="L11" s="17">
        <v>1.2</v>
      </c>
      <c r="M11" s="17">
        <v>3.8</v>
      </c>
      <c r="N11" s="17">
        <v>14.5</v>
      </c>
    </row>
    <row r="12" spans="2:14">
      <c r="B12" s="1" t="s">
        <v>11</v>
      </c>
      <c r="C12" s="17">
        <v>70</v>
      </c>
      <c r="D12" s="17">
        <v>12</v>
      </c>
      <c r="E12" s="17">
        <v>4.5</v>
      </c>
      <c r="F12" s="17">
        <v>9.4</v>
      </c>
      <c r="G12" s="17">
        <v>5.8</v>
      </c>
      <c r="H12" s="17">
        <v>7.1</v>
      </c>
      <c r="I12" s="17">
        <v>1.9</v>
      </c>
      <c r="J12" s="17">
        <v>0.9</v>
      </c>
      <c r="K12" s="17">
        <v>0.7</v>
      </c>
      <c r="L12" s="17">
        <v>2.2000000000000002</v>
      </c>
      <c r="M12" s="17">
        <v>4.4000000000000004</v>
      </c>
      <c r="N12" s="17">
        <v>19.8</v>
      </c>
    </row>
    <row r="13" spans="2:14">
      <c r="B13" s="1" t="s">
        <v>19</v>
      </c>
      <c r="C13" s="17">
        <v>71</v>
      </c>
      <c r="D13" s="17">
        <v>0</v>
      </c>
      <c r="E13" s="17">
        <v>4.7</v>
      </c>
      <c r="F13" s="17">
        <v>6.1</v>
      </c>
      <c r="G13" s="17">
        <v>2.6</v>
      </c>
      <c r="H13" s="17">
        <v>9.3000000000000007</v>
      </c>
      <c r="I13" s="17">
        <v>5</v>
      </c>
      <c r="J13" s="17">
        <v>1.3</v>
      </c>
      <c r="K13" s="17">
        <v>0.8</v>
      </c>
      <c r="L13" s="17">
        <v>2.7</v>
      </c>
      <c r="M13" s="17">
        <v>4</v>
      </c>
      <c r="N13" s="17">
        <v>13.6</v>
      </c>
    </row>
    <row r="14" spans="2:14">
      <c r="B14" s="1" t="s">
        <v>12</v>
      </c>
      <c r="C14" s="17">
        <v>73</v>
      </c>
      <c r="D14" s="17">
        <v>6</v>
      </c>
      <c r="E14" s="17">
        <v>3.2</v>
      </c>
      <c r="F14" s="17">
        <v>5.4</v>
      </c>
      <c r="G14" s="17">
        <v>2.5</v>
      </c>
      <c r="H14" s="17">
        <v>6.4</v>
      </c>
      <c r="I14" s="17">
        <v>4.5999999999999996</v>
      </c>
      <c r="J14" s="17">
        <v>1.7</v>
      </c>
      <c r="K14" s="17">
        <v>0.6</v>
      </c>
      <c r="L14" s="17">
        <v>2.5</v>
      </c>
      <c r="M14" s="17">
        <v>4.2</v>
      </c>
      <c r="N14" s="17">
        <v>10.8</v>
      </c>
    </row>
    <row r="15" spans="2:14">
      <c r="B15" s="1" t="s">
        <v>16</v>
      </c>
      <c r="C15" s="17">
        <v>32</v>
      </c>
      <c r="D15" s="17">
        <v>32</v>
      </c>
      <c r="E15" s="17">
        <v>11.3</v>
      </c>
      <c r="F15" s="17">
        <v>10.6</v>
      </c>
      <c r="G15" s="17">
        <v>2</v>
      </c>
      <c r="H15" s="17">
        <v>4.8</v>
      </c>
      <c r="I15" s="17">
        <v>3.4</v>
      </c>
      <c r="J15" s="17">
        <v>0.6</v>
      </c>
      <c r="K15" s="17">
        <v>0.7</v>
      </c>
      <c r="L15" s="17">
        <v>1.6</v>
      </c>
      <c r="M15" s="17">
        <v>2.1</v>
      </c>
      <c r="N15" s="17">
        <v>24.9</v>
      </c>
    </row>
    <row r="16" spans="2:14">
      <c r="B16" s="1" t="s">
        <v>29</v>
      </c>
      <c r="C16" s="17">
        <v>52</v>
      </c>
      <c r="D16" s="17">
        <v>11</v>
      </c>
      <c r="E16" s="17">
        <v>6.5</v>
      </c>
      <c r="F16" s="17">
        <v>4.3</v>
      </c>
      <c r="G16" s="17">
        <v>2.1</v>
      </c>
      <c r="H16" s="17">
        <v>4.7</v>
      </c>
      <c r="I16" s="17">
        <v>1.4</v>
      </c>
      <c r="J16" s="17">
        <v>0.4</v>
      </c>
      <c r="K16" s="17">
        <v>0.6</v>
      </c>
      <c r="L16" s="17">
        <v>0.8</v>
      </c>
      <c r="M16" s="17">
        <v>2.6</v>
      </c>
      <c r="N16" s="17">
        <v>13.5</v>
      </c>
    </row>
    <row r="17" spans="2:14">
      <c r="B17" s="1" t="s">
        <v>26</v>
      </c>
      <c r="C17" s="17">
        <v>31</v>
      </c>
      <c r="D17" s="17">
        <v>0</v>
      </c>
      <c r="E17" s="17">
        <v>4.4000000000000004</v>
      </c>
      <c r="F17" s="17">
        <v>2.8</v>
      </c>
      <c r="G17" s="17">
        <v>1.2</v>
      </c>
      <c r="H17" s="17">
        <v>6</v>
      </c>
      <c r="I17" s="17">
        <v>6.8</v>
      </c>
      <c r="J17" s="17">
        <v>1.6</v>
      </c>
      <c r="K17" s="17">
        <v>1.3</v>
      </c>
      <c r="L17" s="17">
        <v>1.7</v>
      </c>
      <c r="M17" s="17">
        <v>2</v>
      </c>
      <c r="N17" s="17">
        <v>7.4</v>
      </c>
    </row>
    <row r="18" spans="2:14">
      <c r="B18" s="1" t="s">
        <v>22</v>
      </c>
      <c r="C18" s="17">
        <v>34</v>
      </c>
      <c r="D18" s="17">
        <v>1</v>
      </c>
      <c r="E18" s="17">
        <v>5.0999999999999996</v>
      </c>
      <c r="F18" s="17">
        <v>2.7</v>
      </c>
      <c r="G18" s="17">
        <v>0.3</v>
      </c>
      <c r="H18" s="17">
        <v>3.5</v>
      </c>
      <c r="I18" s="17">
        <v>6.3</v>
      </c>
      <c r="J18" s="17">
        <v>1.3</v>
      </c>
      <c r="K18" s="17">
        <v>0</v>
      </c>
      <c r="L18" s="17">
        <v>3.1</v>
      </c>
      <c r="M18" s="17">
        <v>3.1</v>
      </c>
      <c r="N18" s="17">
        <v>6.5</v>
      </c>
    </row>
    <row r="19" spans="2:14">
      <c r="B19" s="1" t="s">
        <v>30</v>
      </c>
      <c r="C19" s="17">
        <v>11</v>
      </c>
      <c r="D19" s="17">
        <v>0</v>
      </c>
      <c r="E19" s="17">
        <v>2.5</v>
      </c>
      <c r="F19" s="17">
        <v>7.9</v>
      </c>
      <c r="G19" s="17">
        <v>2.5</v>
      </c>
      <c r="H19" s="17">
        <v>6.9</v>
      </c>
      <c r="I19" s="17">
        <v>2.5</v>
      </c>
      <c r="J19" s="17">
        <v>0.5</v>
      </c>
      <c r="K19" s="17">
        <v>0.5</v>
      </c>
      <c r="L19" s="17">
        <v>1.5</v>
      </c>
      <c r="M19" s="17">
        <v>7.4</v>
      </c>
      <c r="N19" s="17">
        <v>14.8</v>
      </c>
    </row>
    <row r="20" spans="2:14">
      <c r="B20" s="15" t="s">
        <v>23</v>
      </c>
      <c r="C20" s="18">
        <v>4</v>
      </c>
      <c r="D20" s="18">
        <v>0</v>
      </c>
      <c r="E20" s="18">
        <v>1.3</v>
      </c>
      <c r="F20" s="18">
        <v>6.4</v>
      </c>
      <c r="G20" s="18">
        <v>0</v>
      </c>
      <c r="H20" s="18">
        <v>9</v>
      </c>
      <c r="I20" s="18">
        <v>3.9</v>
      </c>
      <c r="J20" s="18">
        <v>0</v>
      </c>
      <c r="K20" s="18">
        <v>1.3</v>
      </c>
      <c r="L20" s="18">
        <v>1.3</v>
      </c>
      <c r="M20" s="18">
        <v>2.6</v>
      </c>
      <c r="N20" s="18">
        <v>7.7</v>
      </c>
    </row>
    <row r="21" spans="2:14"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</row>
    <row r="22" spans="2:14">
      <c r="B22" s="12" t="s">
        <v>42</v>
      </c>
      <c r="C22" s="12" t="s">
        <v>43</v>
      </c>
      <c r="D22" s="12" t="s">
        <v>44</v>
      </c>
      <c r="E22" s="12" t="s">
        <v>45</v>
      </c>
      <c r="F22" s="12" t="s">
        <v>46</v>
      </c>
      <c r="G22" s="12" t="s">
        <v>47</v>
      </c>
      <c r="H22" s="12" t="s">
        <v>48</v>
      </c>
      <c r="I22" s="12" t="s">
        <v>49</v>
      </c>
      <c r="J22" s="12" t="s">
        <v>50</v>
      </c>
      <c r="K22" s="12" t="s">
        <v>51</v>
      </c>
      <c r="L22" s="12" t="s">
        <v>52</v>
      </c>
      <c r="M22" s="12" t="s">
        <v>53</v>
      </c>
      <c r="N22" s="12" t="s">
        <v>54</v>
      </c>
    </row>
    <row r="23" spans="2:14">
      <c r="B23" s="34" t="s">
        <v>55</v>
      </c>
      <c r="C23" s="33">
        <v>0.63200000000000001</v>
      </c>
      <c r="D23" s="33">
        <v>1.1439999999999999</v>
      </c>
      <c r="E23" s="33">
        <v>0.14299999999999999</v>
      </c>
      <c r="F23" s="33">
        <v>0.70499999999999996</v>
      </c>
      <c r="G23" s="33">
        <v>0.59699999999999998</v>
      </c>
      <c r="H23" s="33">
        <v>-1.2999999999999999E-2</v>
      </c>
      <c r="I23" s="33">
        <v>-1.6950000000000001</v>
      </c>
      <c r="J23" s="33">
        <v>-5.8999999999999997E-2</v>
      </c>
      <c r="K23" s="33">
        <v>-0.308</v>
      </c>
      <c r="L23" s="33">
        <v>-0.91</v>
      </c>
      <c r="M23" s="33">
        <v>-0.61199999999999999</v>
      </c>
      <c r="N23" s="43">
        <v>-5.6210000000000004</v>
      </c>
    </row>
    <row r="24" spans="2:14">
      <c r="B24" s="27" t="s">
        <v>56</v>
      </c>
      <c r="C24" s="22">
        <v>1.9239999999999999</v>
      </c>
      <c r="D24" s="22">
        <v>4.9000000000000002E-2</v>
      </c>
      <c r="E24" s="22">
        <v>0.25900000000000001</v>
      </c>
      <c r="F24" s="22">
        <v>0.192</v>
      </c>
      <c r="G24" s="22">
        <v>1.694</v>
      </c>
      <c r="H24" s="22">
        <v>1.393</v>
      </c>
      <c r="I24" s="22">
        <v>-0.874</v>
      </c>
      <c r="J24" s="22">
        <v>0.251</v>
      </c>
      <c r="K24" s="22">
        <v>5.5E-2</v>
      </c>
      <c r="L24" s="22">
        <v>-0.191</v>
      </c>
      <c r="M24" s="22">
        <v>-0.13800000000000001</v>
      </c>
      <c r="N24" s="21">
        <v>-3.5209999999999999</v>
      </c>
    </row>
    <row r="26" spans="2:14" ht="17.25">
      <c r="B26" s="14" t="s">
        <v>57</v>
      </c>
    </row>
    <row r="27" spans="2:14">
      <c r="B27" s="12" t="s">
        <v>1</v>
      </c>
      <c r="C27" s="12" t="s">
        <v>43</v>
      </c>
      <c r="D27" s="12" t="s">
        <v>44</v>
      </c>
      <c r="E27" s="12" t="s">
        <v>45</v>
      </c>
      <c r="F27" s="12" t="s">
        <v>46</v>
      </c>
      <c r="G27" s="12" t="s">
        <v>47</v>
      </c>
      <c r="H27" s="12" t="s">
        <v>48</v>
      </c>
      <c r="I27" s="12" t="s">
        <v>49</v>
      </c>
      <c r="J27" s="12" t="s">
        <v>50</v>
      </c>
      <c r="K27" s="12" t="s">
        <v>51</v>
      </c>
      <c r="L27" s="12" t="s">
        <v>52</v>
      </c>
      <c r="M27" s="12" t="s">
        <v>53</v>
      </c>
      <c r="N27" s="12" t="s">
        <v>54</v>
      </c>
    </row>
    <row r="28" spans="2:14">
      <c r="B28" s="1" t="s">
        <v>8</v>
      </c>
      <c r="C28" s="1">
        <f t="shared" ref="C28:C44" si="0">(D4/C4)^2</f>
        <v>1</v>
      </c>
      <c r="D28" s="1">
        <f t="shared" ref="D28:D44" si="1">N4</f>
        <v>19.399999999999999</v>
      </c>
      <c r="E28" s="1">
        <f t="shared" ref="E28:E44" si="2">H4</f>
        <v>5</v>
      </c>
      <c r="F28" s="1">
        <f t="shared" ref="F28:F44" si="3">I4</f>
        <v>2.5</v>
      </c>
      <c r="G28" s="1">
        <f t="shared" ref="G28:G44" si="4">J4</f>
        <v>1.2</v>
      </c>
      <c r="H28" s="1">
        <f t="shared" ref="H28:H44" si="5">K4</f>
        <v>0.8</v>
      </c>
      <c r="I28" s="1">
        <f t="shared" ref="I28:I44" si="6">L4</f>
        <v>1.7</v>
      </c>
      <c r="J28" s="1">
        <f t="shared" ref="J28:J44" si="7">M4</f>
        <v>2.4</v>
      </c>
      <c r="K28" s="1">
        <f t="shared" ref="K28:K44" si="8">G4</f>
        <v>3.6</v>
      </c>
      <c r="L28" s="1">
        <f t="shared" ref="L28:L44" si="9">F4</f>
        <v>9.6</v>
      </c>
      <c r="M28" s="1">
        <f t="shared" ref="M28:M44" si="10">E4</f>
        <v>6.2</v>
      </c>
      <c r="N28" s="1">
        <v>1</v>
      </c>
    </row>
    <row r="29" spans="2:14">
      <c r="B29" s="1" t="s">
        <v>27</v>
      </c>
      <c r="C29" s="3">
        <f t="shared" si="0"/>
        <v>0.45031163434903043</v>
      </c>
      <c r="D29" s="1">
        <f t="shared" si="1"/>
        <v>22.2</v>
      </c>
      <c r="E29" s="1">
        <f t="shared" si="2"/>
        <v>4.0999999999999996</v>
      </c>
      <c r="F29" s="1">
        <f t="shared" si="3"/>
        <v>4.8</v>
      </c>
      <c r="G29" s="1">
        <f t="shared" si="4"/>
        <v>0.9</v>
      </c>
      <c r="H29" s="1">
        <f t="shared" si="5"/>
        <v>0.4</v>
      </c>
      <c r="I29" s="1">
        <f t="shared" si="6"/>
        <v>2.9</v>
      </c>
      <c r="J29" s="1">
        <f t="shared" si="7"/>
        <v>3.2</v>
      </c>
      <c r="K29" s="1">
        <f t="shared" si="8"/>
        <v>4.2</v>
      </c>
      <c r="L29" s="1">
        <f t="shared" si="9"/>
        <v>7.5</v>
      </c>
      <c r="M29" s="1">
        <f t="shared" si="10"/>
        <v>9.1</v>
      </c>
      <c r="N29" s="1">
        <v>1</v>
      </c>
    </row>
    <row r="30" spans="2:14">
      <c r="B30" s="1" t="s">
        <v>20</v>
      </c>
      <c r="C30" s="1">
        <f t="shared" si="0"/>
        <v>1</v>
      </c>
      <c r="D30" s="1">
        <f t="shared" si="1"/>
        <v>26.5</v>
      </c>
      <c r="E30" s="1">
        <f t="shared" si="2"/>
        <v>5.5</v>
      </c>
      <c r="F30" s="1">
        <f t="shared" si="3"/>
        <v>6.6</v>
      </c>
      <c r="G30" s="1">
        <f t="shared" si="4"/>
        <v>1.4</v>
      </c>
      <c r="H30" s="1">
        <f t="shared" si="5"/>
        <v>0.4</v>
      </c>
      <c r="I30" s="1">
        <f t="shared" si="6"/>
        <v>3.4</v>
      </c>
      <c r="J30" s="1">
        <f t="shared" si="7"/>
        <v>2.1</v>
      </c>
      <c r="K30" s="1">
        <f t="shared" si="8"/>
        <v>4.9000000000000004</v>
      </c>
      <c r="L30" s="1">
        <f t="shared" si="9"/>
        <v>7.7</v>
      </c>
      <c r="M30" s="1">
        <f t="shared" si="10"/>
        <v>12.2</v>
      </c>
      <c r="N30" s="1">
        <v>1</v>
      </c>
    </row>
    <row r="31" spans="2:14">
      <c r="B31" s="1" t="s">
        <v>17</v>
      </c>
      <c r="C31" s="3">
        <f t="shared" si="0"/>
        <v>0.95181439619274233</v>
      </c>
      <c r="D31" s="1">
        <f t="shared" si="1"/>
        <v>10.199999999999999</v>
      </c>
      <c r="E31" s="1">
        <f t="shared" si="2"/>
        <v>12.4</v>
      </c>
      <c r="F31" s="1">
        <f t="shared" si="3"/>
        <v>3.4</v>
      </c>
      <c r="G31" s="1">
        <f t="shared" si="4"/>
        <v>1</v>
      </c>
      <c r="H31" s="1">
        <f t="shared" si="5"/>
        <v>1.1000000000000001</v>
      </c>
      <c r="I31" s="1">
        <f t="shared" si="6"/>
        <v>1.4</v>
      </c>
      <c r="J31" s="1">
        <f t="shared" si="7"/>
        <v>4.5</v>
      </c>
      <c r="K31" s="1">
        <f t="shared" si="8"/>
        <v>2.6</v>
      </c>
      <c r="L31" s="1">
        <f t="shared" si="9"/>
        <v>7.5</v>
      </c>
      <c r="M31" s="1">
        <f t="shared" si="10"/>
        <v>0</v>
      </c>
      <c r="N31" s="1">
        <v>1</v>
      </c>
    </row>
    <row r="32" spans="2:14">
      <c r="B32" s="1" t="s">
        <v>24</v>
      </c>
      <c r="C32" s="3">
        <f t="shared" si="0"/>
        <v>5.6689342403628114E-2</v>
      </c>
      <c r="D32" s="1">
        <f t="shared" si="1"/>
        <v>13.3</v>
      </c>
      <c r="E32" s="1">
        <f t="shared" si="2"/>
        <v>9.3000000000000007</v>
      </c>
      <c r="F32" s="1">
        <f t="shared" si="3"/>
        <v>2.4</v>
      </c>
      <c r="G32" s="1">
        <f t="shared" si="4"/>
        <v>1.8</v>
      </c>
      <c r="H32" s="1">
        <f t="shared" si="5"/>
        <v>0.7</v>
      </c>
      <c r="I32" s="1">
        <f t="shared" si="6"/>
        <v>1</v>
      </c>
      <c r="J32" s="1">
        <f t="shared" si="7"/>
        <v>2.1</v>
      </c>
      <c r="K32" s="1">
        <f t="shared" si="8"/>
        <v>1.6</v>
      </c>
      <c r="L32" s="1">
        <f t="shared" si="9"/>
        <v>5.2</v>
      </c>
      <c r="M32" s="1">
        <f t="shared" si="10"/>
        <v>5.6</v>
      </c>
      <c r="N32" s="1">
        <v>1</v>
      </c>
    </row>
    <row r="33" spans="2:16">
      <c r="B33" s="1" t="s">
        <v>10</v>
      </c>
      <c r="C33" s="3">
        <f t="shared" si="0"/>
        <v>0.91493383742911161</v>
      </c>
      <c r="D33" s="1">
        <f t="shared" si="1"/>
        <v>9.4</v>
      </c>
      <c r="E33" s="1">
        <f t="shared" si="2"/>
        <v>9.1</v>
      </c>
      <c r="F33" s="1">
        <f t="shared" si="3"/>
        <v>8.6999999999999993</v>
      </c>
      <c r="G33" s="1">
        <f t="shared" si="4"/>
        <v>1.7</v>
      </c>
      <c r="H33" s="1">
        <f t="shared" si="5"/>
        <v>1.4</v>
      </c>
      <c r="I33" s="1">
        <f t="shared" si="6"/>
        <v>3.8</v>
      </c>
      <c r="J33" s="1">
        <f t="shared" si="7"/>
        <v>3.7</v>
      </c>
      <c r="K33" s="1">
        <f t="shared" si="8"/>
        <v>2.5</v>
      </c>
      <c r="L33" s="1">
        <f t="shared" si="9"/>
        <v>5.5</v>
      </c>
      <c r="M33" s="1">
        <f t="shared" si="10"/>
        <v>1.5</v>
      </c>
      <c r="N33" s="1">
        <v>1</v>
      </c>
    </row>
    <row r="34" spans="2:16">
      <c r="B34" s="1" t="s">
        <v>13</v>
      </c>
      <c r="C34" s="3">
        <f t="shared" si="0"/>
        <v>6.2988158226253456E-3</v>
      </c>
      <c r="D34" s="1">
        <f t="shared" si="1"/>
        <v>13.4</v>
      </c>
      <c r="E34" s="1">
        <f t="shared" si="2"/>
        <v>5.8</v>
      </c>
      <c r="F34" s="1">
        <f t="shared" si="3"/>
        <v>1.8</v>
      </c>
      <c r="G34" s="1">
        <f t="shared" si="4"/>
        <v>1.1000000000000001</v>
      </c>
      <c r="H34" s="1">
        <f t="shared" si="5"/>
        <v>0.2</v>
      </c>
      <c r="I34" s="1">
        <f t="shared" si="6"/>
        <v>1.1000000000000001</v>
      </c>
      <c r="J34" s="1">
        <f t="shared" si="7"/>
        <v>2.7</v>
      </c>
      <c r="K34" s="1">
        <f t="shared" si="8"/>
        <v>2.1</v>
      </c>
      <c r="L34" s="1">
        <f t="shared" si="9"/>
        <v>5.6</v>
      </c>
      <c r="M34" s="1">
        <f t="shared" si="10"/>
        <v>5.4</v>
      </c>
      <c r="N34" s="1">
        <v>1</v>
      </c>
    </row>
    <row r="35" spans="2:16">
      <c r="B35" s="1" t="s">
        <v>15</v>
      </c>
      <c r="C35" s="3">
        <f t="shared" si="0"/>
        <v>5.0783574687561991E-2</v>
      </c>
      <c r="D35" s="1">
        <f t="shared" si="1"/>
        <v>14.5</v>
      </c>
      <c r="E35" s="1">
        <f t="shared" si="2"/>
        <v>7.1</v>
      </c>
      <c r="F35" s="1">
        <f t="shared" si="3"/>
        <v>1.8</v>
      </c>
      <c r="G35" s="1">
        <f t="shared" si="4"/>
        <v>2.8</v>
      </c>
      <c r="H35" s="1">
        <f t="shared" si="5"/>
        <v>0.6</v>
      </c>
      <c r="I35" s="1">
        <f t="shared" si="6"/>
        <v>1.2</v>
      </c>
      <c r="J35" s="1">
        <f t="shared" si="7"/>
        <v>3.8</v>
      </c>
      <c r="K35" s="1">
        <f t="shared" si="8"/>
        <v>1.7</v>
      </c>
      <c r="L35" s="1">
        <f t="shared" si="9"/>
        <v>6.5</v>
      </c>
      <c r="M35" s="1">
        <f t="shared" si="10"/>
        <v>3.5</v>
      </c>
      <c r="N35" s="1">
        <v>1</v>
      </c>
    </row>
    <row r="36" spans="2:16">
      <c r="B36" s="1" t="s">
        <v>11</v>
      </c>
      <c r="C36" s="3">
        <f t="shared" si="0"/>
        <v>2.9387755102040818E-2</v>
      </c>
      <c r="D36" s="1">
        <f t="shared" si="1"/>
        <v>19.8</v>
      </c>
      <c r="E36" s="1">
        <f t="shared" si="2"/>
        <v>7.1</v>
      </c>
      <c r="F36" s="1">
        <f t="shared" si="3"/>
        <v>1.9</v>
      </c>
      <c r="G36" s="1">
        <f t="shared" si="4"/>
        <v>0.9</v>
      </c>
      <c r="H36" s="1">
        <f t="shared" si="5"/>
        <v>0.7</v>
      </c>
      <c r="I36" s="1">
        <f t="shared" si="6"/>
        <v>2.2000000000000002</v>
      </c>
      <c r="J36" s="1">
        <f t="shared" si="7"/>
        <v>4.4000000000000004</v>
      </c>
      <c r="K36" s="1">
        <f t="shared" si="8"/>
        <v>5.8</v>
      </c>
      <c r="L36" s="1">
        <f t="shared" si="9"/>
        <v>9.4</v>
      </c>
      <c r="M36" s="1">
        <f t="shared" si="10"/>
        <v>4.5</v>
      </c>
      <c r="N36" s="1">
        <v>1</v>
      </c>
    </row>
    <row r="37" spans="2:16">
      <c r="B37" s="1" t="s">
        <v>19</v>
      </c>
      <c r="C37" s="1">
        <f t="shared" si="0"/>
        <v>0</v>
      </c>
      <c r="D37" s="1">
        <f t="shared" si="1"/>
        <v>13.6</v>
      </c>
      <c r="E37" s="1">
        <f t="shared" si="2"/>
        <v>9.3000000000000007</v>
      </c>
      <c r="F37" s="1">
        <f t="shared" si="3"/>
        <v>5</v>
      </c>
      <c r="G37" s="1">
        <f t="shared" si="4"/>
        <v>1.3</v>
      </c>
      <c r="H37" s="1">
        <f t="shared" si="5"/>
        <v>0.8</v>
      </c>
      <c r="I37" s="1">
        <f t="shared" si="6"/>
        <v>2.7</v>
      </c>
      <c r="J37" s="1">
        <f t="shared" si="7"/>
        <v>4</v>
      </c>
      <c r="K37" s="1">
        <f t="shared" si="8"/>
        <v>2.6</v>
      </c>
      <c r="L37" s="1">
        <f t="shared" si="9"/>
        <v>6.1</v>
      </c>
      <c r="M37" s="1">
        <f t="shared" si="10"/>
        <v>4.7</v>
      </c>
      <c r="N37" s="1">
        <v>1</v>
      </c>
    </row>
    <row r="38" spans="2:16">
      <c r="B38" s="1" t="s">
        <v>12</v>
      </c>
      <c r="C38" s="3">
        <f t="shared" si="0"/>
        <v>6.7554888346781751E-3</v>
      </c>
      <c r="D38" s="1">
        <f t="shared" si="1"/>
        <v>10.8</v>
      </c>
      <c r="E38" s="1">
        <f t="shared" si="2"/>
        <v>6.4</v>
      </c>
      <c r="F38" s="1">
        <f t="shared" si="3"/>
        <v>4.5999999999999996</v>
      </c>
      <c r="G38" s="1">
        <f t="shared" si="4"/>
        <v>1.7</v>
      </c>
      <c r="H38" s="1">
        <f t="shared" si="5"/>
        <v>0.6</v>
      </c>
      <c r="I38" s="1">
        <f t="shared" si="6"/>
        <v>2.5</v>
      </c>
      <c r="J38" s="1">
        <f t="shared" si="7"/>
        <v>4.2</v>
      </c>
      <c r="K38" s="1">
        <f t="shared" si="8"/>
        <v>2.5</v>
      </c>
      <c r="L38" s="1">
        <f t="shared" si="9"/>
        <v>5.4</v>
      </c>
      <c r="M38" s="1">
        <f t="shared" si="10"/>
        <v>3.2</v>
      </c>
      <c r="N38" s="1">
        <v>1</v>
      </c>
    </row>
    <row r="39" spans="2:16">
      <c r="B39" s="1" t="s">
        <v>16</v>
      </c>
      <c r="C39" s="1">
        <f t="shared" si="0"/>
        <v>1</v>
      </c>
      <c r="D39" s="1">
        <f t="shared" si="1"/>
        <v>24.9</v>
      </c>
      <c r="E39" s="1">
        <f t="shared" si="2"/>
        <v>4.8</v>
      </c>
      <c r="F39" s="1">
        <f t="shared" si="3"/>
        <v>3.4</v>
      </c>
      <c r="G39" s="1">
        <f t="shared" si="4"/>
        <v>0.6</v>
      </c>
      <c r="H39" s="1">
        <f t="shared" si="5"/>
        <v>0.7</v>
      </c>
      <c r="I39" s="1">
        <f t="shared" si="6"/>
        <v>1.6</v>
      </c>
      <c r="J39" s="1">
        <f t="shared" si="7"/>
        <v>2.1</v>
      </c>
      <c r="K39" s="1">
        <f t="shared" si="8"/>
        <v>2</v>
      </c>
      <c r="L39" s="1">
        <f t="shared" si="9"/>
        <v>10.6</v>
      </c>
      <c r="M39" s="1">
        <f t="shared" si="10"/>
        <v>11.3</v>
      </c>
      <c r="N39" s="1">
        <v>1</v>
      </c>
    </row>
    <row r="40" spans="2:16">
      <c r="B40" s="1" t="s">
        <v>29</v>
      </c>
      <c r="C40" s="3">
        <f t="shared" si="0"/>
        <v>4.4748520710059171E-2</v>
      </c>
      <c r="D40" s="1">
        <f t="shared" si="1"/>
        <v>13.5</v>
      </c>
      <c r="E40" s="1">
        <f t="shared" si="2"/>
        <v>4.7</v>
      </c>
      <c r="F40" s="1">
        <f t="shared" si="3"/>
        <v>1.4</v>
      </c>
      <c r="G40" s="1">
        <f t="shared" si="4"/>
        <v>0.4</v>
      </c>
      <c r="H40" s="1">
        <f t="shared" si="5"/>
        <v>0.6</v>
      </c>
      <c r="I40" s="1">
        <f t="shared" si="6"/>
        <v>0.8</v>
      </c>
      <c r="J40" s="1">
        <f t="shared" si="7"/>
        <v>2.6</v>
      </c>
      <c r="K40" s="1">
        <f t="shared" si="8"/>
        <v>2.1</v>
      </c>
      <c r="L40" s="1">
        <f t="shared" si="9"/>
        <v>4.3</v>
      </c>
      <c r="M40" s="1">
        <f t="shared" si="10"/>
        <v>6.5</v>
      </c>
      <c r="N40" s="1">
        <v>1</v>
      </c>
    </row>
    <row r="41" spans="2:16">
      <c r="B41" s="1" t="s">
        <v>26</v>
      </c>
      <c r="C41" s="1">
        <f t="shared" si="0"/>
        <v>0</v>
      </c>
      <c r="D41" s="1">
        <f t="shared" si="1"/>
        <v>7.4</v>
      </c>
      <c r="E41" s="1">
        <f t="shared" si="2"/>
        <v>6</v>
      </c>
      <c r="F41" s="1">
        <f t="shared" si="3"/>
        <v>6.8</v>
      </c>
      <c r="G41" s="1">
        <f t="shared" si="4"/>
        <v>1.6</v>
      </c>
      <c r="H41" s="1">
        <f t="shared" si="5"/>
        <v>1.3</v>
      </c>
      <c r="I41" s="1">
        <f t="shared" si="6"/>
        <v>1.7</v>
      </c>
      <c r="J41" s="1">
        <f t="shared" si="7"/>
        <v>2</v>
      </c>
      <c r="K41" s="1">
        <f t="shared" si="8"/>
        <v>1.2</v>
      </c>
      <c r="L41" s="1">
        <f t="shared" si="9"/>
        <v>2.8</v>
      </c>
      <c r="M41" s="1">
        <f t="shared" si="10"/>
        <v>4.4000000000000004</v>
      </c>
      <c r="N41" s="1">
        <v>1</v>
      </c>
    </row>
    <row r="42" spans="2:16">
      <c r="B42" s="1" t="s">
        <v>22</v>
      </c>
      <c r="C42" s="3">
        <f t="shared" si="0"/>
        <v>8.6505190311418688E-4</v>
      </c>
      <c r="D42" s="1">
        <f t="shared" si="1"/>
        <v>6.5</v>
      </c>
      <c r="E42" s="1">
        <f t="shared" si="2"/>
        <v>3.5</v>
      </c>
      <c r="F42" s="1">
        <f t="shared" si="3"/>
        <v>6.3</v>
      </c>
      <c r="G42" s="1">
        <f t="shared" si="4"/>
        <v>1.3</v>
      </c>
      <c r="H42" s="1">
        <f t="shared" si="5"/>
        <v>0</v>
      </c>
      <c r="I42" s="1">
        <f t="shared" si="6"/>
        <v>3.1</v>
      </c>
      <c r="J42" s="1">
        <f t="shared" si="7"/>
        <v>3.1</v>
      </c>
      <c r="K42" s="1">
        <f t="shared" si="8"/>
        <v>0.3</v>
      </c>
      <c r="L42" s="1">
        <f t="shared" si="9"/>
        <v>2.7</v>
      </c>
      <c r="M42" s="1">
        <f t="shared" si="10"/>
        <v>5.0999999999999996</v>
      </c>
      <c r="N42" s="1">
        <v>1</v>
      </c>
    </row>
    <row r="43" spans="2:16">
      <c r="B43" s="1" t="s">
        <v>30</v>
      </c>
      <c r="C43" s="1">
        <f t="shared" si="0"/>
        <v>0</v>
      </c>
      <c r="D43" s="1">
        <f t="shared" si="1"/>
        <v>14.8</v>
      </c>
      <c r="E43" s="1">
        <f t="shared" si="2"/>
        <v>6.9</v>
      </c>
      <c r="F43" s="1">
        <f t="shared" si="3"/>
        <v>2.5</v>
      </c>
      <c r="G43" s="1">
        <f t="shared" si="4"/>
        <v>0.5</v>
      </c>
      <c r="H43" s="1">
        <f t="shared" si="5"/>
        <v>0.5</v>
      </c>
      <c r="I43" s="1">
        <f t="shared" si="6"/>
        <v>1.5</v>
      </c>
      <c r="J43" s="1">
        <f t="shared" si="7"/>
        <v>7.4</v>
      </c>
      <c r="K43" s="1">
        <f t="shared" si="8"/>
        <v>2.5</v>
      </c>
      <c r="L43" s="1">
        <f t="shared" si="9"/>
        <v>7.9</v>
      </c>
      <c r="M43" s="1">
        <f t="shared" si="10"/>
        <v>2.5</v>
      </c>
      <c r="N43" s="1">
        <v>1</v>
      </c>
    </row>
    <row r="44" spans="2:16">
      <c r="B44" s="15" t="s">
        <v>23</v>
      </c>
      <c r="C44" s="15">
        <f t="shared" si="0"/>
        <v>0</v>
      </c>
      <c r="D44" s="15">
        <f t="shared" si="1"/>
        <v>7.7</v>
      </c>
      <c r="E44" s="15">
        <f t="shared" si="2"/>
        <v>9</v>
      </c>
      <c r="F44" s="15">
        <f t="shared" si="3"/>
        <v>3.9</v>
      </c>
      <c r="G44" s="15">
        <f t="shared" si="4"/>
        <v>0</v>
      </c>
      <c r="H44" s="15">
        <f t="shared" si="5"/>
        <v>1.3</v>
      </c>
      <c r="I44" s="15">
        <f t="shared" si="6"/>
        <v>1.3</v>
      </c>
      <c r="J44" s="15">
        <f t="shared" si="7"/>
        <v>2.6</v>
      </c>
      <c r="K44" s="15">
        <f t="shared" si="8"/>
        <v>0</v>
      </c>
      <c r="L44" s="15">
        <f t="shared" si="9"/>
        <v>6.4</v>
      </c>
      <c r="M44" s="15">
        <f t="shared" si="10"/>
        <v>1.3</v>
      </c>
      <c r="N44" s="15">
        <v>1</v>
      </c>
    </row>
    <row r="46" spans="2:16" ht="17.25">
      <c r="B46" s="14" t="s">
        <v>58</v>
      </c>
    </row>
    <row r="47" spans="2:16">
      <c r="B47" s="12" t="s">
        <v>1</v>
      </c>
      <c r="C47" s="12" t="s">
        <v>43</v>
      </c>
      <c r="D47" s="12" t="s">
        <v>44</v>
      </c>
      <c r="E47" s="12" t="s">
        <v>45</v>
      </c>
      <c r="F47" s="12" t="s">
        <v>46</v>
      </c>
      <c r="G47" s="12" t="s">
        <v>47</v>
      </c>
      <c r="H47" s="12" t="s">
        <v>48</v>
      </c>
      <c r="I47" s="12" t="s">
        <v>49</v>
      </c>
      <c r="J47" s="12" t="s">
        <v>50</v>
      </c>
      <c r="K47" s="12" t="s">
        <v>51</v>
      </c>
      <c r="L47" s="12" t="s">
        <v>52</v>
      </c>
      <c r="M47" s="12" t="s">
        <v>53</v>
      </c>
      <c r="N47" s="12" t="s">
        <v>54</v>
      </c>
      <c r="O47" s="12" t="s">
        <v>59</v>
      </c>
      <c r="P47" s="3"/>
    </row>
    <row r="48" spans="2:16">
      <c r="B48" s="1" t="s">
        <v>8</v>
      </c>
      <c r="C48" s="2">
        <f t="shared" ref="C48:N48" si="11">C$23*C28</f>
        <v>0.63200000000000001</v>
      </c>
      <c r="D48" s="2">
        <f t="shared" si="11"/>
        <v>22.193599999999996</v>
      </c>
      <c r="E48" s="2">
        <f t="shared" si="11"/>
        <v>0.71499999999999997</v>
      </c>
      <c r="F48" s="2">
        <f t="shared" si="11"/>
        <v>1.7625</v>
      </c>
      <c r="G48" s="2">
        <f t="shared" si="11"/>
        <v>0.71639999999999993</v>
      </c>
      <c r="H48" s="2">
        <f t="shared" si="11"/>
        <v>-1.04E-2</v>
      </c>
      <c r="I48" s="2">
        <f t="shared" si="11"/>
        <v>-2.8815</v>
      </c>
      <c r="J48" s="2">
        <f t="shared" si="11"/>
        <v>-0.14159999999999998</v>
      </c>
      <c r="K48" s="2">
        <f t="shared" si="11"/>
        <v>-1.1088</v>
      </c>
      <c r="L48" s="2">
        <f t="shared" si="11"/>
        <v>-8.7360000000000007</v>
      </c>
      <c r="M48" s="2">
        <f t="shared" si="11"/>
        <v>-3.7944</v>
      </c>
      <c r="N48" s="2">
        <f t="shared" si="11"/>
        <v>-5.6210000000000004</v>
      </c>
      <c r="O48" s="2">
        <f t="shared" ref="O48:O64" si="12">SUM(C48:N48)</f>
        <v>3.7257999999999978</v>
      </c>
      <c r="P48" s="3"/>
    </row>
    <row r="49" spans="2:16">
      <c r="B49" s="1" t="s">
        <v>27</v>
      </c>
      <c r="C49" s="2">
        <f t="shared" ref="C49:N49" si="13">C$23*C29</f>
        <v>0.28459695290858722</v>
      </c>
      <c r="D49" s="2">
        <f t="shared" si="13"/>
        <v>25.396799999999995</v>
      </c>
      <c r="E49" s="2">
        <f t="shared" si="13"/>
        <v>0.58629999999999993</v>
      </c>
      <c r="F49" s="2">
        <f t="shared" si="13"/>
        <v>3.3839999999999999</v>
      </c>
      <c r="G49" s="2">
        <f t="shared" si="13"/>
        <v>0.5373</v>
      </c>
      <c r="H49" s="2">
        <f t="shared" si="13"/>
        <v>-5.1999999999999998E-3</v>
      </c>
      <c r="I49" s="2">
        <f t="shared" si="13"/>
        <v>-4.9154999999999998</v>
      </c>
      <c r="J49" s="2">
        <f t="shared" si="13"/>
        <v>-0.1888</v>
      </c>
      <c r="K49" s="2">
        <f t="shared" si="13"/>
        <v>-1.2936000000000001</v>
      </c>
      <c r="L49" s="2">
        <f t="shared" si="13"/>
        <v>-6.8250000000000002</v>
      </c>
      <c r="M49" s="2">
        <f t="shared" si="13"/>
        <v>-5.5691999999999995</v>
      </c>
      <c r="N49" s="2">
        <f t="shared" si="13"/>
        <v>-5.6210000000000004</v>
      </c>
      <c r="O49" s="2">
        <f t="shared" si="12"/>
        <v>5.770696952908585</v>
      </c>
      <c r="P49" s="3"/>
    </row>
    <row r="50" spans="2:16">
      <c r="B50" s="1" t="s">
        <v>20</v>
      </c>
      <c r="C50" s="2">
        <f t="shared" ref="C50:N50" si="14">C$23*C30</f>
        <v>0.63200000000000001</v>
      </c>
      <c r="D50" s="2">
        <f t="shared" si="14"/>
        <v>30.315999999999999</v>
      </c>
      <c r="E50" s="2">
        <f t="shared" si="14"/>
        <v>0.78649999999999998</v>
      </c>
      <c r="F50" s="2">
        <f t="shared" si="14"/>
        <v>4.6529999999999996</v>
      </c>
      <c r="G50" s="2">
        <f t="shared" si="14"/>
        <v>0.83579999999999988</v>
      </c>
      <c r="H50" s="2">
        <f t="shared" si="14"/>
        <v>-5.1999999999999998E-3</v>
      </c>
      <c r="I50" s="2">
        <f t="shared" si="14"/>
        <v>-5.7629999999999999</v>
      </c>
      <c r="J50" s="2">
        <f t="shared" si="14"/>
        <v>-0.1239</v>
      </c>
      <c r="K50" s="2">
        <f t="shared" si="14"/>
        <v>-1.5092000000000001</v>
      </c>
      <c r="L50" s="2">
        <f t="shared" si="14"/>
        <v>-7.0070000000000006</v>
      </c>
      <c r="M50" s="2">
        <f t="shared" si="14"/>
        <v>-7.4663999999999993</v>
      </c>
      <c r="N50" s="2">
        <f t="shared" si="14"/>
        <v>-5.6210000000000004</v>
      </c>
      <c r="O50" s="2">
        <f t="shared" si="12"/>
        <v>9.7276000000000007</v>
      </c>
      <c r="P50" s="3"/>
    </row>
    <row r="51" spans="2:16">
      <c r="B51" s="1" t="s">
        <v>17</v>
      </c>
      <c r="C51" s="2">
        <f t="shared" ref="C51:N51" si="15">C$23*C31</f>
        <v>0.60154669839381314</v>
      </c>
      <c r="D51" s="2">
        <f t="shared" si="15"/>
        <v>11.668799999999997</v>
      </c>
      <c r="E51" s="2">
        <f t="shared" si="15"/>
        <v>1.7731999999999999</v>
      </c>
      <c r="F51" s="2">
        <f t="shared" si="15"/>
        <v>2.3969999999999998</v>
      </c>
      <c r="G51" s="2">
        <f t="shared" si="15"/>
        <v>0.59699999999999998</v>
      </c>
      <c r="H51" s="2">
        <f t="shared" si="15"/>
        <v>-1.43E-2</v>
      </c>
      <c r="I51" s="2">
        <f t="shared" si="15"/>
        <v>-2.3729999999999998</v>
      </c>
      <c r="J51" s="2">
        <f t="shared" si="15"/>
        <v>-0.26549999999999996</v>
      </c>
      <c r="K51" s="2">
        <f t="shared" si="15"/>
        <v>-0.80080000000000007</v>
      </c>
      <c r="L51" s="2">
        <f t="shared" si="15"/>
        <v>-6.8250000000000002</v>
      </c>
      <c r="M51" s="2">
        <f t="shared" si="15"/>
        <v>0</v>
      </c>
      <c r="N51" s="2">
        <f t="shared" si="15"/>
        <v>-5.6210000000000004</v>
      </c>
      <c r="O51" s="2">
        <f t="shared" si="12"/>
        <v>1.1379466983938125</v>
      </c>
      <c r="P51" s="3"/>
    </row>
    <row r="52" spans="2:16">
      <c r="B52" s="1" t="s">
        <v>24</v>
      </c>
      <c r="C52" s="2">
        <f t="shared" ref="C52:N52" si="16">C$23*C32</f>
        <v>3.5827664399092969E-2</v>
      </c>
      <c r="D52" s="2">
        <f t="shared" si="16"/>
        <v>15.215199999999999</v>
      </c>
      <c r="E52" s="2">
        <f t="shared" si="16"/>
        <v>1.3299000000000001</v>
      </c>
      <c r="F52" s="2">
        <f t="shared" si="16"/>
        <v>1.6919999999999999</v>
      </c>
      <c r="G52" s="2">
        <f t="shared" si="16"/>
        <v>1.0746</v>
      </c>
      <c r="H52" s="2">
        <f t="shared" si="16"/>
        <v>-9.0999999999999987E-3</v>
      </c>
      <c r="I52" s="2">
        <f t="shared" si="16"/>
        <v>-1.6950000000000001</v>
      </c>
      <c r="J52" s="2">
        <f t="shared" si="16"/>
        <v>-0.1239</v>
      </c>
      <c r="K52" s="2">
        <f t="shared" si="16"/>
        <v>-0.49280000000000002</v>
      </c>
      <c r="L52" s="2">
        <f t="shared" si="16"/>
        <v>-4.7320000000000002</v>
      </c>
      <c r="M52" s="2">
        <f t="shared" si="16"/>
        <v>-3.4271999999999996</v>
      </c>
      <c r="N52" s="2">
        <f t="shared" si="16"/>
        <v>-5.6210000000000004</v>
      </c>
      <c r="O52" s="2">
        <f t="shared" si="12"/>
        <v>3.2465276643990943</v>
      </c>
      <c r="P52" s="3"/>
    </row>
    <row r="53" spans="2:16">
      <c r="B53" s="1" t="s">
        <v>10</v>
      </c>
      <c r="C53" s="2">
        <f t="shared" ref="C53:N53" si="17">C$23*C33</f>
        <v>0.57823818525519854</v>
      </c>
      <c r="D53" s="2">
        <f t="shared" si="17"/>
        <v>10.753599999999999</v>
      </c>
      <c r="E53" s="2">
        <f t="shared" si="17"/>
        <v>1.3012999999999999</v>
      </c>
      <c r="F53" s="2">
        <f t="shared" si="17"/>
        <v>6.1334999999999988</v>
      </c>
      <c r="G53" s="2">
        <f t="shared" si="17"/>
        <v>1.0148999999999999</v>
      </c>
      <c r="H53" s="2">
        <f t="shared" si="17"/>
        <v>-1.8199999999999997E-2</v>
      </c>
      <c r="I53" s="2">
        <f t="shared" si="17"/>
        <v>-6.4409999999999998</v>
      </c>
      <c r="J53" s="2">
        <f t="shared" si="17"/>
        <v>-0.21829999999999999</v>
      </c>
      <c r="K53" s="2">
        <f t="shared" si="17"/>
        <v>-0.77</v>
      </c>
      <c r="L53" s="2">
        <f t="shared" si="17"/>
        <v>-5.0049999999999999</v>
      </c>
      <c r="M53" s="2">
        <f t="shared" si="17"/>
        <v>-0.91799999999999993</v>
      </c>
      <c r="N53" s="2">
        <f t="shared" si="17"/>
        <v>-5.6210000000000004</v>
      </c>
      <c r="O53" s="2">
        <f t="shared" si="12"/>
        <v>0.79003818525519875</v>
      </c>
      <c r="P53" s="3"/>
    </row>
    <row r="54" spans="2:16">
      <c r="B54" s="1" t="s">
        <v>13</v>
      </c>
      <c r="C54" s="2">
        <f t="shared" ref="C54:N54" si="18">C$23*C34</f>
        <v>3.9808515998992185E-3</v>
      </c>
      <c r="D54" s="2">
        <f t="shared" si="18"/>
        <v>15.329599999999999</v>
      </c>
      <c r="E54" s="2">
        <f t="shared" si="18"/>
        <v>0.82939999999999992</v>
      </c>
      <c r="F54" s="2">
        <f t="shared" si="18"/>
        <v>1.2689999999999999</v>
      </c>
      <c r="G54" s="2">
        <f t="shared" si="18"/>
        <v>0.65670000000000006</v>
      </c>
      <c r="H54" s="2">
        <f t="shared" si="18"/>
        <v>-2.5999999999999999E-3</v>
      </c>
      <c r="I54" s="2">
        <f t="shared" si="18"/>
        <v>-1.8645000000000003</v>
      </c>
      <c r="J54" s="2">
        <f t="shared" si="18"/>
        <v>-0.1593</v>
      </c>
      <c r="K54" s="2">
        <f t="shared" si="18"/>
        <v>-0.64680000000000004</v>
      </c>
      <c r="L54" s="2">
        <f t="shared" si="18"/>
        <v>-5.0960000000000001</v>
      </c>
      <c r="M54" s="2">
        <f t="shared" si="18"/>
        <v>-3.3048000000000002</v>
      </c>
      <c r="N54" s="2">
        <f t="shared" si="18"/>
        <v>-5.6210000000000004</v>
      </c>
      <c r="O54" s="2">
        <f t="shared" si="12"/>
        <v>1.3936808515998926</v>
      </c>
      <c r="P54" s="3"/>
    </row>
    <row r="55" spans="2:16">
      <c r="B55" s="1" t="s">
        <v>15</v>
      </c>
      <c r="C55" s="2">
        <f t="shared" ref="C55:N55" si="19">C$23*C35</f>
        <v>3.2095219202539181E-2</v>
      </c>
      <c r="D55" s="2">
        <f t="shared" si="19"/>
        <v>16.587999999999997</v>
      </c>
      <c r="E55" s="2">
        <f t="shared" si="19"/>
        <v>1.0152999999999999</v>
      </c>
      <c r="F55" s="2">
        <f t="shared" si="19"/>
        <v>1.2689999999999999</v>
      </c>
      <c r="G55" s="2">
        <f t="shared" si="19"/>
        <v>1.6715999999999998</v>
      </c>
      <c r="H55" s="2">
        <f t="shared" si="19"/>
        <v>-7.7999999999999996E-3</v>
      </c>
      <c r="I55" s="2">
        <f t="shared" si="19"/>
        <v>-2.0339999999999998</v>
      </c>
      <c r="J55" s="2">
        <f t="shared" si="19"/>
        <v>-0.22419999999999998</v>
      </c>
      <c r="K55" s="2">
        <f t="shared" si="19"/>
        <v>-0.52359999999999995</v>
      </c>
      <c r="L55" s="2">
        <f t="shared" si="19"/>
        <v>-5.915</v>
      </c>
      <c r="M55" s="2">
        <f t="shared" si="19"/>
        <v>-2.1419999999999999</v>
      </c>
      <c r="N55" s="2">
        <f t="shared" si="19"/>
        <v>-5.6210000000000004</v>
      </c>
      <c r="O55" s="2">
        <f t="shared" si="12"/>
        <v>4.1083952192025368</v>
      </c>
      <c r="P55" s="3"/>
    </row>
    <row r="56" spans="2:16">
      <c r="B56" s="1" t="s">
        <v>11</v>
      </c>
      <c r="C56" s="2">
        <f t="shared" ref="C56:N56" si="20">C$23*C36</f>
        <v>1.8573061224489797E-2</v>
      </c>
      <c r="D56" s="2">
        <f t="shared" si="20"/>
        <v>22.651199999999999</v>
      </c>
      <c r="E56" s="2">
        <f t="shared" si="20"/>
        <v>1.0152999999999999</v>
      </c>
      <c r="F56" s="2">
        <f t="shared" si="20"/>
        <v>1.3394999999999999</v>
      </c>
      <c r="G56" s="2">
        <f t="shared" si="20"/>
        <v>0.5373</v>
      </c>
      <c r="H56" s="2">
        <f t="shared" si="20"/>
        <v>-9.0999999999999987E-3</v>
      </c>
      <c r="I56" s="2">
        <f t="shared" si="20"/>
        <v>-3.7290000000000005</v>
      </c>
      <c r="J56" s="2">
        <f t="shared" si="20"/>
        <v>-0.2596</v>
      </c>
      <c r="K56" s="2">
        <f t="shared" si="20"/>
        <v>-1.7864</v>
      </c>
      <c r="L56" s="2">
        <f t="shared" si="20"/>
        <v>-8.5540000000000003</v>
      </c>
      <c r="M56" s="2">
        <f t="shared" si="20"/>
        <v>-2.754</v>
      </c>
      <c r="N56" s="2">
        <f t="shared" si="20"/>
        <v>-5.6210000000000004</v>
      </c>
      <c r="O56" s="2">
        <f t="shared" si="12"/>
        <v>2.8487730612244899</v>
      </c>
      <c r="P56" s="3"/>
    </row>
    <row r="57" spans="2:16">
      <c r="B57" s="1" t="s">
        <v>19</v>
      </c>
      <c r="C57" s="2">
        <f t="shared" ref="C57:N57" si="21">C$23*C37</f>
        <v>0</v>
      </c>
      <c r="D57" s="2">
        <f t="shared" si="21"/>
        <v>15.558399999999999</v>
      </c>
      <c r="E57" s="2">
        <f t="shared" si="21"/>
        <v>1.3299000000000001</v>
      </c>
      <c r="F57" s="2">
        <f t="shared" si="21"/>
        <v>3.5249999999999999</v>
      </c>
      <c r="G57" s="2">
        <f t="shared" si="21"/>
        <v>0.77610000000000001</v>
      </c>
      <c r="H57" s="2">
        <f t="shared" si="21"/>
        <v>-1.04E-2</v>
      </c>
      <c r="I57" s="2">
        <f t="shared" si="21"/>
        <v>-4.5765000000000002</v>
      </c>
      <c r="J57" s="2">
        <f t="shared" si="21"/>
        <v>-0.23599999999999999</v>
      </c>
      <c r="K57" s="2">
        <f t="shared" si="21"/>
        <v>-0.80080000000000007</v>
      </c>
      <c r="L57" s="2">
        <f t="shared" si="21"/>
        <v>-5.5510000000000002</v>
      </c>
      <c r="M57" s="2">
        <f t="shared" si="21"/>
        <v>-2.8763999999999998</v>
      </c>
      <c r="N57" s="2">
        <f t="shared" si="21"/>
        <v>-5.6210000000000004</v>
      </c>
      <c r="O57" s="2">
        <f t="shared" si="12"/>
        <v>1.5172999999999934</v>
      </c>
      <c r="P57" s="3"/>
    </row>
    <row r="58" spans="2:16">
      <c r="B58" s="1" t="s">
        <v>12</v>
      </c>
      <c r="C58" s="2">
        <f t="shared" ref="C58:N58" si="22">C$23*C38</f>
        <v>4.2694689435166071E-3</v>
      </c>
      <c r="D58" s="2">
        <f t="shared" si="22"/>
        <v>12.3552</v>
      </c>
      <c r="E58" s="2">
        <f t="shared" si="22"/>
        <v>0.91520000000000001</v>
      </c>
      <c r="F58" s="2">
        <f t="shared" si="22"/>
        <v>3.2429999999999994</v>
      </c>
      <c r="G58" s="2">
        <f t="shared" si="22"/>
        <v>1.0148999999999999</v>
      </c>
      <c r="H58" s="2">
        <f t="shared" si="22"/>
        <v>-7.7999999999999996E-3</v>
      </c>
      <c r="I58" s="2">
        <f t="shared" si="22"/>
        <v>-4.2374999999999998</v>
      </c>
      <c r="J58" s="2">
        <f t="shared" si="22"/>
        <v>-0.24779999999999999</v>
      </c>
      <c r="K58" s="2">
        <f t="shared" si="22"/>
        <v>-0.77</v>
      </c>
      <c r="L58" s="2">
        <f t="shared" si="22"/>
        <v>-4.9140000000000006</v>
      </c>
      <c r="M58" s="2">
        <f t="shared" si="22"/>
        <v>-1.9584000000000001</v>
      </c>
      <c r="N58" s="2">
        <f t="shared" si="22"/>
        <v>-5.6210000000000004</v>
      </c>
      <c r="O58" s="2">
        <f t="shared" si="12"/>
        <v>-0.22393053105648342</v>
      </c>
      <c r="P58" s="3"/>
    </row>
    <row r="59" spans="2:16">
      <c r="B59" s="1" t="s">
        <v>16</v>
      </c>
      <c r="C59" s="2">
        <f t="shared" ref="C59:N59" si="23">C$23*C39</f>
        <v>0.63200000000000001</v>
      </c>
      <c r="D59" s="2">
        <f t="shared" si="23"/>
        <v>28.485599999999994</v>
      </c>
      <c r="E59" s="2">
        <f t="shared" si="23"/>
        <v>0.6863999999999999</v>
      </c>
      <c r="F59" s="2">
        <f t="shared" si="23"/>
        <v>2.3969999999999998</v>
      </c>
      <c r="G59" s="2">
        <f t="shared" si="23"/>
        <v>0.35819999999999996</v>
      </c>
      <c r="H59" s="2">
        <f t="shared" si="23"/>
        <v>-9.0999999999999987E-3</v>
      </c>
      <c r="I59" s="2">
        <f t="shared" si="23"/>
        <v>-2.7120000000000002</v>
      </c>
      <c r="J59" s="2">
        <f t="shared" si="23"/>
        <v>-0.1239</v>
      </c>
      <c r="K59" s="2">
        <f t="shared" si="23"/>
        <v>-0.61599999999999999</v>
      </c>
      <c r="L59" s="2">
        <f t="shared" si="23"/>
        <v>-9.6460000000000008</v>
      </c>
      <c r="M59" s="2">
        <f t="shared" si="23"/>
        <v>-6.9156000000000004</v>
      </c>
      <c r="N59" s="2">
        <f t="shared" si="23"/>
        <v>-5.6210000000000004</v>
      </c>
      <c r="O59" s="2">
        <f t="shared" si="12"/>
        <v>6.9155999999999924</v>
      </c>
      <c r="P59" s="3"/>
    </row>
    <row r="60" spans="2:16">
      <c r="B60" s="1" t="s">
        <v>29</v>
      </c>
      <c r="C60" s="2">
        <f t="shared" ref="C60:N60" si="24">C$23*C40</f>
        <v>2.8281065088757395E-2</v>
      </c>
      <c r="D60" s="2">
        <f t="shared" si="24"/>
        <v>15.443999999999999</v>
      </c>
      <c r="E60" s="2">
        <f t="shared" si="24"/>
        <v>0.67209999999999992</v>
      </c>
      <c r="F60" s="2">
        <f t="shared" si="24"/>
        <v>0.98699999999999988</v>
      </c>
      <c r="G60" s="2">
        <f t="shared" si="24"/>
        <v>0.23880000000000001</v>
      </c>
      <c r="H60" s="2">
        <f t="shared" si="24"/>
        <v>-7.7999999999999996E-3</v>
      </c>
      <c r="I60" s="2">
        <f t="shared" si="24"/>
        <v>-1.3560000000000001</v>
      </c>
      <c r="J60" s="2">
        <f t="shared" si="24"/>
        <v>-0.15340000000000001</v>
      </c>
      <c r="K60" s="2">
        <f t="shared" si="24"/>
        <v>-0.64680000000000004</v>
      </c>
      <c r="L60" s="2">
        <f t="shared" si="24"/>
        <v>-3.9129999999999998</v>
      </c>
      <c r="M60" s="2">
        <f t="shared" si="24"/>
        <v>-3.9779999999999998</v>
      </c>
      <c r="N60" s="2">
        <f t="shared" si="24"/>
        <v>-5.6210000000000004</v>
      </c>
      <c r="O60" s="2">
        <f t="shared" si="12"/>
        <v>1.6941810650887525</v>
      </c>
      <c r="P60" s="3"/>
    </row>
    <row r="61" spans="2:16">
      <c r="B61" s="1" t="s">
        <v>26</v>
      </c>
      <c r="C61" s="2">
        <f t="shared" ref="C61:N61" si="25">C$23*C41</f>
        <v>0</v>
      </c>
      <c r="D61" s="2">
        <f t="shared" si="25"/>
        <v>8.4656000000000002</v>
      </c>
      <c r="E61" s="2">
        <f t="shared" si="25"/>
        <v>0.85799999999999987</v>
      </c>
      <c r="F61" s="2">
        <f t="shared" si="25"/>
        <v>4.7939999999999996</v>
      </c>
      <c r="G61" s="2">
        <f t="shared" si="25"/>
        <v>0.95520000000000005</v>
      </c>
      <c r="H61" s="2">
        <f t="shared" si="25"/>
        <v>-1.6899999999999998E-2</v>
      </c>
      <c r="I61" s="2">
        <f t="shared" si="25"/>
        <v>-2.8815</v>
      </c>
      <c r="J61" s="2">
        <f t="shared" si="25"/>
        <v>-0.11799999999999999</v>
      </c>
      <c r="K61" s="2">
        <f t="shared" si="25"/>
        <v>-0.36959999999999998</v>
      </c>
      <c r="L61" s="2">
        <f t="shared" si="25"/>
        <v>-2.548</v>
      </c>
      <c r="M61" s="2">
        <f t="shared" si="25"/>
        <v>-2.6928000000000001</v>
      </c>
      <c r="N61" s="2">
        <f t="shared" si="25"/>
        <v>-5.6210000000000004</v>
      </c>
      <c r="O61" s="2">
        <f t="shared" si="12"/>
        <v>0.82499999999999751</v>
      </c>
      <c r="P61" s="3"/>
    </row>
    <row r="62" spans="2:16">
      <c r="B62" s="1" t="s">
        <v>22</v>
      </c>
      <c r="C62" s="2">
        <f t="shared" ref="C62:N62" si="26">C$23*C42</f>
        <v>5.4671280276816616E-4</v>
      </c>
      <c r="D62" s="2">
        <f t="shared" si="26"/>
        <v>7.4359999999999991</v>
      </c>
      <c r="E62" s="2">
        <f t="shared" si="26"/>
        <v>0.50049999999999994</v>
      </c>
      <c r="F62" s="2">
        <f t="shared" si="26"/>
        <v>4.4414999999999996</v>
      </c>
      <c r="G62" s="2">
        <f t="shared" si="26"/>
        <v>0.77610000000000001</v>
      </c>
      <c r="H62" s="2">
        <f t="shared" si="26"/>
        <v>0</v>
      </c>
      <c r="I62" s="2">
        <f t="shared" si="26"/>
        <v>-5.2545000000000002</v>
      </c>
      <c r="J62" s="2">
        <f t="shared" si="26"/>
        <v>-0.18290000000000001</v>
      </c>
      <c r="K62" s="2">
        <f t="shared" si="26"/>
        <v>-9.2399999999999996E-2</v>
      </c>
      <c r="L62" s="2">
        <f t="shared" si="26"/>
        <v>-2.4570000000000003</v>
      </c>
      <c r="M62" s="2">
        <f t="shared" si="26"/>
        <v>-3.1211999999999995</v>
      </c>
      <c r="N62" s="2">
        <f t="shared" si="26"/>
        <v>-5.6210000000000004</v>
      </c>
      <c r="O62" s="2">
        <f t="shared" si="12"/>
        <v>-3.5743532871972348</v>
      </c>
      <c r="P62" s="3"/>
    </row>
    <row r="63" spans="2:16">
      <c r="B63" s="1" t="s">
        <v>30</v>
      </c>
      <c r="C63" s="2">
        <f t="shared" ref="C63:N63" si="27">C$23*C43</f>
        <v>0</v>
      </c>
      <c r="D63" s="2">
        <f t="shared" si="27"/>
        <v>16.9312</v>
      </c>
      <c r="E63" s="2">
        <f t="shared" si="27"/>
        <v>0.98670000000000002</v>
      </c>
      <c r="F63" s="2">
        <f t="shared" si="27"/>
        <v>1.7625</v>
      </c>
      <c r="G63" s="2">
        <f t="shared" si="27"/>
        <v>0.29849999999999999</v>
      </c>
      <c r="H63" s="2">
        <f t="shared" si="27"/>
        <v>-6.4999999999999997E-3</v>
      </c>
      <c r="I63" s="2">
        <f t="shared" si="27"/>
        <v>-2.5425</v>
      </c>
      <c r="J63" s="2">
        <f t="shared" si="27"/>
        <v>-0.43659999999999999</v>
      </c>
      <c r="K63" s="2">
        <f t="shared" si="27"/>
        <v>-0.77</v>
      </c>
      <c r="L63" s="2">
        <f t="shared" si="27"/>
        <v>-7.1890000000000009</v>
      </c>
      <c r="M63" s="2">
        <f t="shared" si="27"/>
        <v>-1.53</v>
      </c>
      <c r="N63" s="2">
        <f t="shared" si="27"/>
        <v>-5.6210000000000004</v>
      </c>
      <c r="O63" s="2">
        <f t="shared" si="12"/>
        <v>1.8833000000000011</v>
      </c>
      <c r="P63" s="3"/>
    </row>
    <row r="64" spans="2:16">
      <c r="B64" s="15" t="s">
        <v>23</v>
      </c>
      <c r="C64" s="16">
        <f t="shared" ref="C64:N64" si="28">C$23*C44</f>
        <v>0</v>
      </c>
      <c r="D64" s="16">
        <f t="shared" si="28"/>
        <v>8.8087999999999997</v>
      </c>
      <c r="E64" s="16">
        <f t="shared" si="28"/>
        <v>1.2869999999999999</v>
      </c>
      <c r="F64" s="16">
        <f t="shared" si="28"/>
        <v>2.7494999999999998</v>
      </c>
      <c r="G64" s="16">
        <f t="shared" si="28"/>
        <v>0</v>
      </c>
      <c r="H64" s="16">
        <f t="shared" si="28"/>
        <v>-1.6899999999999998E-2</v>
      </c>
      <c r="I64" s="16">
        <f t="shared" si="28"/>
        <v>-2.2035</v>
      </c>
      <c r="J64" s="16">
        <f t="shared" si="28"/>
        <v>-0.15340000000000001</v>
      </c>
      <c r="K64" s="16">
        <f t="shared" si="28"/>
        <v>0</v>
      </c>
      <c r="L64" s="16">
        <f t="shared" si="28"/>
        <v>-5.8240000000000007</v>
      </c>
      <c r="M64" s="16">
        <f t="shared" si="28"/>
        <v>-0.79559999999999997</v>
      </c>
      <c r="N64" s="16">
        <f t="shared" si="28"/>
        <v>-5.6210000000000004</v>
      </c>
      <c r="O64" s="16">
        <f t="shared" si="12"/>
        <v>-1.7691000000000003</v>
      </c>
    </row>
    <row r="66" spans="2:15" ht="17.25">
      <c r="B66" s="14" t="s">
        <v>60</v>
      </c>
    </row>
    <row r="67" spans="2:15">
      <c r="B67" s="12" t="s">
        <v>1</v>
      </c>
      <c r="C67" s="12" t="s">
        <v>43</v>
      </c>
      <c r="D67" s="12" t="s">
        <v>44</v>
      </c>
      <c r="E67" s="12" t="s">
        <v>45</v>
      </c>
      <c r="F67" s="12" t="s">
        <v>46</v>
      </c>
      <c r="G67" s="12" t="s">
        <v>47</v>
      </c>
      <c r="H67" s="12" t="s">
        <v>48</v>
      </c>
      <c r="I67" s="12" t="s">
        <v>49</v>
      </c>
      <c r="J67" s="12" t="s">
        <v>50</v>
      </c>
      <c r="K67" s="12" t="s">
        <v>51</v>
      </c>
      <c r="L67" s="12" t="s">
        <v>52</v>
      </c>
      <c r="M67" s="12" t="s">
        <v>53</v>
      </c>
      <c r="N67" s="12" t="s">
        <v>54</v>
      </c>
      <c r="O67" s="12" t="s">
        <v>61</v>
      </c>
    </row>
    <row r="68" spans="2:15">
      <c r="B68" s="1" t="s">
        <v>8</v>
      </c>
      <c r="C68" s="2">
        <f t="shared" ref="C68:N68" si="29">C$24*C28</f>
        <v>1.9239999999999999</v>
      </c>
      <c r="D68" s="2">
        <f t="shared" si="29"/>
        <v>0.9506</v>
      </c>
      <c r="E68" s="2">
        <f t="shared" si="29"/>
        <v>1.2949999999999999</v>
      </c>
      <c r="F68" s="2">
        <f t="shared" si="29"/>
        <v>0.48</v>
      </c>
      <c r="G68" s="2">
        <f t="shared" si="29"/>
        <v>2.0327999999999999</v>
      </c>
      <c r="H68" s="2">
        <f t="shared" si="29"/>
        <v>1.1144000000000001</v>
      </c>
      <c r="I68" s="2">
        <f t="shared" si="29"/>
        <v>-1.4858</v>
      </c>
      <c r="J68" s="2">
        <f t="shared" si="29"/>
        <v>0.60239999999999994</v>
      </c>
      <c r="K68" s="2">
        <f t="shared" si="29"/>
        <v>0.19800000000000001</v>
      </c>
      <c r="L68" s="2">
        <f t="shared" si="29"/>
        <v>-1.8335999999999999</v>
      </c>
      <c r="M68" s="2">
        <f t="shared" si="29"/>
        <v>-0.85560000000000014</v>
      </c>
      <c r="N68" s="2">
        <f t="shared" si="29"/>
        <v>-3.5209999999999999</v>
      </c>
      <c r="O68" s="2">
        <f>SUM(C68:N68)</f>
        <v>0.90120000000000022</v>
      </c>
    </row>
    <row r="69" spans="2:15">
      <c r="B69" s="1" t="s">
        <v>27</v>
      </c>
      <c r="C69" s="2">
        <f t="shared" ref="C69:N69" si="30">C$24*C29</f>
        <v>0.86639958448753451</v>
      </c>
      <c r="D69" s="2">
        <f t="shared" si="30"/>
        <v>1.0878000000000001</v>
      </c>
      <c r="E69" s="2">
        <f t="shared" si="30"/>
        <v>1.0618999999999998</v>
      </c>
      <c r="F69" s="2">
        <f t="shared" si="30"/>
        <v>0.92159999999999997</v>
      </c>
      <c r="G69" s="2">
        <f t="shared" si="30"/>
        <v>1.5246</v>
      </c>
      <c r="H69" s="2">
        <f t="shared" si="30"/>
        <v>0.55720000000000003</v>
      </c>
      <c r="I69" s="2">
        <f t="shared" si="30"/>
        <v>-2.5345999999999997</v>
      </c>
      <c r="J69" s="2">
        <f t="shared" si="30"/>
        <v>0.80320000000000003</v>
      </c>
      <c r="K69" s="2">
        <f t="shared" si="30"/>
        <v>0.23100000000000001</v>
      </c>
      <c r="L69" s="2">
        <f t="shared" si="30"/>
        <v>-1.4325000000000001</v>
      </c>
      <c r="M69" s="2">
        <f t="shared" si="30"/>
        <v>-1.2558</v>
      </c>
      <c r="N69" s="2">
        <f t="shared" si="30"/>
        <v>-3.5209999999999999</v>
      </c>
      <c r="O69" s="2">
        <f t="shared" ref="O69:O84" si="31">SUM(C69:N69)</f>
        <v>-1.6902004155124664</v>
      </c>
    </row>
    <row r="70" spans="2:15">
      <c r="B70" s="1" t="s">
        <v>20</v>
      </c>
      <c r="C70" s="2">
        <f t="shared" ref="C70:N70" si="32">C$24*C30</f>
        <v>1.9239999999999999</v>
      </c>
      <c r="D70" s="2">
        <f t="shared" si="32"/>
        <v>1.2985</v>
      </c>
      <c r="E70" s="2">
        <f t="shared" si="32"/>
        <v>1.4245000000000001</v>
      </c>
      <c r="F70" s="2">
        <f t="shared" si="32"/>
        <v>1.2671999999999999</v>
      </c>
      <c r="G70" s="2">
        <f t="shared" si="32"/>
        <v>2.3715999999999999</v>
      </c>
      <c r="H70" s="2">
        <f t="shared" si="32"/>
        <v>0.55720000000000003</v>
      </c>
      <c r="I70" s="2">
        <f t="shared" si="32"/>
        <v>-2.9716</v>
      </c>
      <c r="J70" s="2">
        <f t="shared" si="32"/>
        <v>0.52710000000000001</v>
      </c>
      <c r="K70" s="2">
        <f t="shared" si="32"/>
        <v>0.26950000000000002</v>
      </c>
      <c r="L70" s="2">
        <f t="shared" si="32"/>
        <v>-1.4707000000000001</v>
      </c>
      <c r="M70" s="2">
        <f t="shared" si="32"/>
        <v>-1.6836</v>
      </c>
      <c r="N70" s="2">
        <f t="shared" si="32"/>
        <v>-3.5209999999999999</v>
      </c>
      <c r="O70" s="2">
        <f t="shared" si="31"/>
        <v>-7.3000000000007503E-3</v>
      </c>
    </row>
    <row r="71" spans="2:15">
      <c r="B71" s="1" t="s">
        <v>17</v>
      </c>
      <c r="C71" s="2">
        <f t="shared" ref="C71:N71" si="33">C$24*C31</f>
        <v>1.8312908982748362</v>
      </c>
      <c r="D71" s="2">
        <f t="shared" si="33"/>
        <v>0.49979999999999997</v>
      </c>
      <c r="E71" s="2">
        <f t="shared" si="33"/>
        <v>3.2116000000000002</v>
      </c>
      <c r="F71" s="2">
        <f t="shared" si="33"/>
        <v>0.65280000000000005</v>
      </c>
      <c r="G71" s="2">
        <f t="shared" si="33"/>
        <v>1.694</v>
      </c>
      <c r="H71" s="2">
        <f t="shared" si="33"/>
        <v>1.5323000000000002</v>
      </c>
      <c r="I71" s="2">
        <f t="shared" si="33"/>
        <v>-1.2236</v>
      </c>
      <c r="J71" s="2">
        <f t="shared" si="33"/>
        <v>1.1294999999999999</v>
      </c>
      <c r="K71" s="2">
        <f t="shared" si="33"/>
        <v>0.14300000000000002</v>
      </c>
      <c r="L71" s="2">
        <f t="shared" si="33"/>
        <v>-1.4325000000000001</v>
      </c>
      <c r="M71" s="2">
        <f t="shared" si="33"/>
        <v>0</v>
      </c>
      <c r="N71" s="2">
        <f t="shared" si="33"/>
        <v>-3.5209999999999999</v>
      </c>
      <c r="O71" s="2">
        <f t="shared" si="31"/>
        <v>4.5171908982748379</v>
      </c>
    </row>
    <row r="72" spans="2:15">
      <c r="B72" s="1" t="s">
        <v>24</v>
      </c>
      <c r="C72" s="2">
        <f t="shared" ref="C72:N72" si="34">C$24*C32</f>
        <v>0.10907029478458048</v>
      </c>
      <c r="D72" s="2">
        <f t="shared" si="34"/>
        <v>0.65170000000000006</v>
      </c>
      <c r="E72" s="2">
        <f t="shared" si="34"/>
        <v>2.4087000000000001</v>
      </c>
      <c r="F72" s="2">
        <f t="shared" si="34"/>
        <v>0.46079999999999999</v>
      </c>
      <c r="G72" s="2">
        <f t="shared" si="34"/>
        <v>3.0491999999999999</v>
      </c>
      <c r="H72" s="2">
        <f t="shared" si="34"/>
        <v>0.97509999999999997</v>
      </c>
      <c r="I72" s="2">
        <f t="shared" si="34"/>
        <v>-0.874</v>
      </c>
      <c r="J72" s="2">
        <f t="shared" si="34"/>
        <v>0.52710000000000001</v>
      </c>
      <c r="K72" s="2">
        <f t="shared" si="34"/>
        <v>8.8000000000000009E-2</v>
      </c>
      <c r="L72" s="2">
        <f t="shared" si="34"/>
        <v>-0.99320000000000008</v>
      </c>
      <c r="M72" s="2">
        <f t="shared" si="34"/>
        <v>-0.77280000000000004</v>
      </c>
      <c r="N72" s="2">
        <f t="shared" si="34"/>
        <v>-3.5209999999999999</v>
      </c>
      <c r="O72" s="2">
        <f t="shared" si="31"/>
        <v>2.1086702947845817</v>
      </c>
    </row>
    <row r="73" spans="2:15">
      <c r="B73" s="1" t="s">
        <v>10</v>
      </c>
      <c r="C73" s="2">
        <f t="shared" ref="C73:N73" si="35">C$24*C33</f>
        <v>1.7603327032136107</v>
      </c>
      <c r="D73" s="2">
        <f t="shared" si="35"/>
        <v>0.46060000000000001</v>
      </c>
      <c r="E73" s="2">
        <f t="shared" si="35"/>
        <v>2.3569</v>
      </c>
      <c r="F73" s="2">
        <f t="shared" si="35"/>
        <v>1.6703999999999999</v>
      </c>
      <c r="G73" s="2">
        <f t="shared" si="35"/>
        <v>2.8797999999999999</v>
      </c>
      <c r="H73" s="2">
        <f t="shared" si="35"/>
        <v>1.9501999999999999</v>
      </c>
      <c r="I73" s="2">
        <f t="shared" si="35"/>
        <v>-3.3211999999999997</v>
      </c>
      <c r="J73" s="2">
        <f t="shared" si="35"/>
        <v>0.92870000000000008</v>
      </c>
      <c r="K73" s="2">
        <f t="shared" si="35"/>
        <v>0.13750000000000001</v>
      </c>
      <c r="L73" s="2">
        <f t="shared" si="35"/>
        <v>-1.0505</v>
      </c>
      <c r="M73" s="2">
        <f t="shared" si="35"/>
        <v>-0.20700000000000002</v>
      </c>
      <c r="N73" s="2">
        <f t="shared" si="35"/>
        <v>-3.5209999999999999</v>
      </c>
      <c r="O73" s="2">
        <f t="shared" si="31"/>
        <v>4.0447327032136133</v>
      </c>
    </row>
    <row r="74" spans="2:15">
      <c r="B74" s="1" t="s">
        <v>13</v>
      </c>
      <c r="C74" s="2">
        <f t="shared" ref="C74:N74" si="36">C$24*C34</f>
        <v>1.2118921642731165E-2</v>
      </c>
      <c r="D74" s="2">
        <f t="shared" si="36"/>
        <v>0.65660000000000007</v>
      </c>
      <c r="E74" s="2">
        <f t="shared" si="36"/>
        <v>1.5022</v>
      </c>
      <c r="F74" s="2">
        <f t="shared" si="36"/>
        <v>0.34560000000000002</v>
      </c>
      <c r="G74" s="2">
        <f t="shared" si="36"/>
        <v>1.8634000000000002</v>
      </c>
      <c r="H74" s="2">
        <f t="shared" si="36"/>
        <v>0.27860000000000001</v>
      </c>
      <c r="I74" s="2">
        <f t="shared" si="36"/>
        <v>-0.96140000000000003</v>
      </c>
      <c r="J74" s="2">
        <f t="shared" si="36"/>
        <v>0.67770000000000008</v>
      </c>
      <c r="K74" s="2">
        <f t="shared" si="36"/>
        <v>0.11550000000000001</v>
      </c>
      <c r="L74" s="2">
        <f t="shared" si="36"/>
        <v>-1.0695999999999999</v>
      </c>
      <c r="M74" s="2">
        <f t="shared" si="36"/>
        <v>-0.74520000000000008</v>
      </c>
      <c r="N74" s="2">
        <f t="shared" si="36"/>
        <v>-3.5209999999999999</v>
      </c>
      <c r="O74" s="2">
        <f t="shared" si="31"/>
        <v>-0.8454810783572686</v>
      </c>
    </row>
    <row r="75" spans="2:15">
      <c r="B75" s="1" t="s">
        <v>15</v>
      </c>
      <c r="C75" s="2">
        <f t="shared" ref="C75:N75" si="37">C$24*C35</f>
        <v>9.7707597698869261E-2</v>
      </c>
      <c r="D75" s="2">
        <f t="shared" si="37"/>
        <v>0.71050000000000002</v>
      </c>
      <c r="E75" s="2">
        <f t="shared" si="37"/>
        <v>1.8389</v>
      </c>
      <c r="F75" s="2">
        <f t="shared" si="37"/>
        <v>0.34560000000000002</v>
      </c>
      <c r="G75" s="2">
        <f t="shared" si="37"/>
        <v>4.7431999999999999</v>
      </c>
      <c r="H75" s="2">
        <f t="shared" si="37"/>
        <v>0.83579999999999999</v>
      </c>
      <c r="I75" s="2">
        <f t="shared" si="37"/>
        <v>-1.0488</v>
      </c>
      <c r="J75" s="2">
        <f t="shared" si="37"/>
        <v>0.95379999999999998</v>
      </c>
      <c r="K75" s="2">
        <f t="shared" si="37"/>
        <v>9.35E-2</v>
      </c>
      <c r="L75" s="2">
        <f t="shared" si="37"/>
        <v>-1.2415</v>
      </c>
      <c r="M75" s="2">
        <f t="shared" si="37"/>
        <v>-0.48300000000000004</v>
      </c>
      <c r="N75" s="2">
        <f t="shared" si="37"/>
        <v>-3.5209999999999999</v>
      </c>
      <c r="O75" s="2">
        <f t="shared" si="31"/>
        <v>3.32470759769887</v>
      </c>
    </row>
    <row r="76" spans="2:15">
      <c r="B76" s="1" t="s">
        <v>11</v>
      </c>
      <c r="C76" s="2">
        <f t="shared" ref="C76:N76" si="38">C$24*C36</f>
        <v>5.6542040816326529E-2</v>
      </c>
      <c r="D76" s="2">
        <f t="shared" si="38"/>
        <v>0.97020000000000006</v>
      </c>
      <c r="E76" s="2">
        <f t="shared" si="38"/>
        <v>1.8389</v>
      </c>
      <c r="F76" s="2">
        <f t="shared" si="38"/>
        <v>0.36480000000000001</v>
      </c>
      <c r="G76" s="2">
        <f t="shared" si="38"/>
        <v>1.5246</v>
      </c>
      <c r="H76" s="2">
        <f t="shared" si="38"/>
        <v>0.97509999999999997</v>
      </c>
      <c r="I76" s="2">
        <f t="shared" si="38"/>
        <v>-1.9228000000000001</v>
      </c>
      <c r="J76" s="2">
        <f t="shared" si="38"/>
        <v>1.1044</v>
      </c>
      <c r="K76" s="2">
        <f t="shared" si="38"/>
        <v>0.31900000000000001</v>
      </c>
      <c r="L76" s="2">
        <f t="shared" si="38"/>
        <v>-1.7954000000000001</v>
      </c>
      <c r="M76" s="2">
        <f t="shared" si="38"/>
        <v>-0.621</v>
      </c>
      <c r="N76" s="2">
        <f t="shared" si="38"/>
        <v>-3.5209999999999999</v>
      </c>
      <c r="O76" s="2">
        <f t="shared" si="31"/>
        <v>-0.70665795918367325</v>
      </c>
    </row>
    <row r="77" spans="2:15">
      <c r="B77" s="1" t="s">
        <v>19</v>
      </c>
      <c r="C77" s="2">
        <f t="shared" ref="C77:N77" si="39">C$24*C37</f>
        <v>0</v>
      </c>
      <c r="D77" s="2">
        <f t="shared" si="39"/>
        <v>0.66639999999999999</v>
      </c>
      <c r="E77" s="2">
        <f t="shared" si="39"/>
        <v>2.4087000000000001</v>
      </c>
      <c r="F77" s="2">
        <f t="shared" si="39"/>
        <v>0.96</v>
      </c>
      <c r="G77" s="2">
        <f t="shared" si="39"/>
        <v>2.2021999999999999</v>
      </c>
      <c r="H77" s="2">
        <f t="shared" si="39"/>
        <v>1.1144000000000001</v>
      </c>
      <c r="I77" s="2">
        <f t="shared" si="39"/>
        <v>-2.3598000000000003</v>
      </c>
      <c r="J77" s="2">
        <f t="shared" si="39"/>
        <v>1.004</v>
      </c>
      <c r="K77" s="2">
        <f t="shared" si="39"/>
        <v>0.14300000000000002</v>
      </c>
      <c r="L77" s="2">
        <f t="shared" si="39"/>
        <v>-1.1651</v>
      </c>
      <c r="M77" s="2">
        <f t="shared" si="39"/>
        <v>-0.64860000000000007</v>
      </c>
      <c r="N77" s="2">
        <f t="shared" si="39"/>
        <v>-3.5209999999999999</v>
      </c>
      <c r="O77" s="2">
        <f t="shared" si="31"/>
        <v>0.80419999999999892</v>
      </c>
    </row>
    <row r="78" spans="2:15">
      <c r="B78" s="1" t="s">
        <v>12</v>
      </c>
      <c r="C78" s="2">
        <f t="shared" ref="C78:N78" si="40">C$24*C38</f>
        <v>1.2997560517920809E-2</v>
      </c>
      <c r="D78" s="2">
        <f t="shared" si="40"/>
        <v>0.5292</v>
      </c>
      <c r="E78" s="2">
        <f t="shared" si="40"/>
        <v>1.6576000000000002</v>
      </c>
      <c r="F78" s="2">
        <f t="shared" si="40"/>
        <v>0.88319999999999999</v>
      </c>
      <c r="G78" s="2">
        <f t="shared" si="40"/>
        <v>2.8797999999999999</v>
      </c>
      <c r="H78" s="2">
        <f t="shared" si="40"/>
        <v>0.83579999999999999</v>
      </c>
      <c r="I78" s="2">
        <f t="shared" si="40"/>
        <v>-2.1850000000000001</v>
      </c>
      <c r="J78" s="2">
        <f t="shared" si="40"/>
        <v>1.0542</v>
      </c>
      <c r="K78" s="2">
        <f t="shared" si="40"/>
        <v>0.13750000000000001</v>
      </c>
      <c r="L78" s="2">
        <f t="shared" si="40"/>
        <v>-1.0314000000000001</v>
      </c>
      <c r="M78" s="2">
        <f t="shared" si="40"/>
        <v>-0.44160000000000005</v>
      </c>
      <c r="N78" s="2">
        <f t="shared" si="40"/>
        <v>-3.5209999999999999</v>
      </c>
      <c r="O78" s="2">
        <f t="shared" si="31"/>
        <v>0.81129756051791979</v>
      </c>
    </row>
    <row r="79" spans="2:15">
      <c r="B79" s="1" t="s">
        <v>16</v>
      </c>
      <c r="C79" s="2">
        <f t="shared" ref="C79:N79" si="41">C$24*C39</f>
        <v>1.9239999999999999</v>
      </c>
      <c r="D79" s="2">
        <f t="shared" si="41"/>
        <v>1.2201</v>
      </c>
      <c r="E79" s="2">
        <f t="shared" si="41"/>
        <v>1.2432000000000001</v>
      </c>
      <c r="F79" s="2">
        <f t="shared" si="41"/>
        <v>0.65280000000000005</v>
      </c>
      <c r="G79" s="2">
        <f t="shared" si="41"/>
        <v>1.0164</v>
      </c>
      <c r="H79" s="2">
        <f t="shared" si="41"/>
        <v>0.97509999999999997</v>
      </c>
      <c r="I79" s="2">
        <f t="shared" si="41"/>
        <v>-1.3984000000000001</v>
      </c>
      <c r="J79" s="2">
        <f t="shared" si="41"/>
        <v>0.52710000000000001</v>
      </c>
      <c r="K79" s="2">
        <f t="shared" si="41"/>
        <v>0.11</v>
      </c>
      <c r="L79" s="2">
        <f t="shared" si="41"/>
        <v>-2.0246</v>
      </c>
      <c r="M79" s="2">
        <f t="shared" si="41"/>
        <v>-1.5594000000000001</v>
      </c>
      <c r="N79" s="2">
        <f t="shared" si="41"/>
        <v>-3.5209999999999999</v>
      </c>
      <c r="O79" s="2">
        <f t="shared" si="31"/>
        <v>-0.83469999999999889</v>
      </c>
    </row>
    <row r="80" spans="2:15">
      <c r="B80" s="1" t="s">
        <v>29</v>
      </c>
      <c r="C80" s="2">
        <f t="shared" ref="C80:N80" si="42">C$24*C40</f>
        <v>8.6096153846153836E-2</v>
      </c>
      <c r="D80" s="2">
        <f t="shared" si="42"/>
        <v>0.66149999999999998</v>
      </c>
      <c r="E80" s="2">
        <f t="shared" si="42"/>
        <v>1.2173</v>
      </c>
      <c r="F80" s="2">
        <f t="shared" si="42"/>
        <v>0.26879999999999998</v>
      </c>
      <c r="G80" s="2">
        <f t="shared" si="42"/>
        <v>0.67759999999999998</v>
      </c>
      <c r="H80" s="2">
        <f t="shared" si="42"/>
        <v>0.83579999999999999</v>
      </c>
      <c r="I80" s="2">
        <f t="shared" si="42"/>
        <v>-0.69920000000000004</v>
      </c>
      <c r="J80" s="2">
        <f t="shared" si="42"/>
        <v>0.65260000000000007</v>
      </c>
      <c r="K80" s="2">
        <f t="shared" si="42"/>
        <v>0.11550000000000001</v>
      </c>
      <c r="L80" s="2">
        <f t="shared" si="42"/>
        <v>-0.82130000000000003</v>
      </c>
      <c r="M80" s="2">
        <f t="shared" si="42"/>
        <v>-0.89700000000000002</v>
      </c>
      <c r="N80" s="2">
        <f t="shared" si="42"/>
        <v>-3.5209999999999999</v>
      </c>
      <c r="O80" s="2">
        <f t="shared" si="31"/>
        <v>-1.4233038461538454</v>
      </c>
    </row>
    <row r="81" spans="2:15">
      <c r="B81" s="1" t="s">
        <v>26</v>
      </c>
      <c r="C81" s="2">
        <f t="shared" ref="C81:N81" si="43">C$24*C41</f>
        <v>0</v>
      </c>
      <c r="D81" s="2">
        <f t="shared" si="43"/>
        <v>0.36260000000000003</v>
      </c>
      <c r="E81" s="2">
        <f t="shared" si="43"/>
        <v>1.554</v>
      </c>
      <c r="F81" s="2">
        <f t="shared" si="43"/>
        <v>1.3056000000000001</v>
      </c>
      <c r="G81" s="2">
        <f t="shared" si="43"/>
        <v>2.7103999999999999</v>
      </c>
      <c r="H81" s="2">
        <f t="shared" si="43"/>
        <v>1.8109000000000002</v>
      </c>
      <c r="I81" s="2">
        <f t="shared" si="43"/>
        <v>-1.4858</v>
      </c>
      <c r="J81" s="2">
        <f t="shared" si="43"/>
        <v>0.502</v>
      </c>
      <c r="K81" s="2">
        <f t="shared" si="43"/>
        <v>6.6000000000000003E-2</v>
      </c>
      <c r="L81" s="2">
        <f t="shared" si="43"/>
        <v>-0.53479999999999994</v>
      </c>
      <c r="M81" s="2">
        <f t="shared" si="43"/>
        <v>-0.60720000000000007</v>
      </c>
      <c r="N81" s="2">
        <f t="shared" si="43"/>
        <v>-3.5209999999999999</v>
      </c>
      <c r="O81" s="2">
        <f t="shared" si="31"/>
        <v>2.1627000000000001</v>
      </c>
    </row>
    <row r="82" spans="2:15">
      <c r="B82" s="1" t="s">
        <v>22</v>
      </c>
      <c r="C82" s="2">
        <f t="shared" ref="C82:N82" si="44">C$24*C42</f>
        <v>1.6643598615916956E-3</v>
      </c>
      <c r="D82" s="2">
        <f t="shared" si="44"/>
        <v>0.31850000000000001</v>
      </c>
      <c r="E82" s="2">
        <f t="shared" si="44"/>
        <v>0.90650000000000008</v>
      </c>
      <c r="F82" s="2">
        <f t="shared" si="44"/>
        <v>1.2096</v>
      </c>
      <c r="G82" s="2">
        <f t="shared" si="44"/>
        <v>2.2021999999999999</v>
      </c>
      <c r="H82" s="2">
        <f t="shared" si="44"/>
        <v>0</v>
      </c>
      <c r="I82" s="2">
        <f t="shared" si="44"/>
        <v>-2.7094</v>
      </c>
      <c r="J82" s="2">
        <f t="shared" si="44"/>
        <v>0.77810000000000001</v>
      </c>
      <c r="K82" s="2">
        <f t="shared" si="44"/>
        <v>1.6500000000000001E-2</v>
      </c>
      <c r="L82" s="2">
        <f t="shared" si="44"/>
        <v>-0.51570000000000005</v>
      </c>
      <c r="M82" s="2">
        <f t="shared" si="44"/>
        <v>-0.70379999999999998</v>
      </c>
      <c r="N82" s="2">
        <f t="shared" si="44"/>
        <v>-3.5209999999999999</v>
      </c>
      <c r="O82" s="2">
        <f t="shared" si="31"/>
        <v>-2.0168356401384084</v>
      </c>
    </row>
    <row r="83" spans="2:15">
      <c r="B83" s="1" t="s">
        <v>30</v>
      </c>
      <c r="C83" s="2">
        <f t="shared" ref="C83:N83" si="45">C$24*C43</f>
        <v>0</v>
      </c>
      <c r="D83" s="2">
        <f t="shared" si="45"/>
        <v>0.72520000000000007</v>
      </c>
      <c r="E83" s="2">
        <f t="shared" si="45"/>
        <v>1.7871000000000001</v>
      </c>
      <c r="F83" s="2">
        <f t="shared" si="45"/>
        <v>0.48</v>
      </c>
      <c r="G83" s="2">
        <f t="shared" si="45"/>
        <v>0.84699999999999998</v>
      </c>
      <c r="H83" s="2">
        <f t="shared" si="45"/>
        <v>0.69650000000000001</v>
      </c>
      <c r="I83" s="2">
        <f t="shared" si="45"/>
        <v>-1.3109999999999999</v>
      </c>
      <c r="J83" s="2">
        <f t="shared" si="45"/>
        <v>1.8574000000000002</v>
      </c>
      <c r="K83" s="2">
        <f t="shared" si="45"/>
        <v>0.13750000000000001</v>
      </c>
      <c r="L83" s="2">
        <f t="shared" si="45"/>
        <v>-1.5089000000000001</v>
      </c>
      <c r="M83" s="2">
        <f t="shared" si="45"/>
        <v>-0.34500000000000003</v>
      </c>
      <c r="N83" s="2">
        <f t="shared" si="45"/>
        <v>-3.5209999999999999</v>
      </c>
      <c r="O83" s="2">
        <f t="shared" si="31"/>
        <v>-0.15519999999999978</v>
      </c>
    </row>
    <row r="84" spans="2:15">
      <c r="B84" s="15" t="s">
        <v>23</v>
      </c>
      <c r="C84" s="16">
        <f t="shared" ref="C84:N84" si="46">C$24*C44</f>
        <v>0</v>
      </c>
      <c r="D84" s="16">
        <f t="shared" si="46"/>
        <v>0.37730000000000002</v>
      </c>
      <c r="E84" s="16">
        <f t="shared" si="46"/>
        <v>2.331</v>
      </c>
      <c r="F84" s="16">
        <f t="shared" si="46"/>
        <v>0.74880000000000002</v>
      </c>
      <c r="G84" s="16">
        <f t="shared" si="46"/>
        <v>0</v>
      </c>
      <c r="H84" s="16">
        <f t="shared" si="46"/>
        <v>1.8109000000000002</v>
      </c>
      <c r="I84" s="16">
        <f t="shared" si="46"/>
        <v>-1.1362000000000001</v>
      </c>
      <c r="J84" s="16">
        <f t="shared" si="46"/>
        <v>0.65260000000000007</v>
      </c>
      <c r="K84" s="16">
        <f t="shared" si="46"/>
        <v>0</v>
      </c>
      <c r="L84" s="16">
        <f t="shared" si="46"/>
        <v>-1.2224000000000002</v>
      </c>
      <c r="M84" s="16">
        <f t="shared" si="46"/>
        <v>-0.17940000000000003</v>
      </c>
      <c r="N84" s="16">
        <f t="shared" si="46"/>
        <v>-3.5209999999999999</v>
      </c>
      <c r="O84" s="16">
        <f t="shared" si="31"/>
        <v>-0.13840000000000074</v>
      </c>
    </row>
    <row r="86" spans="2:15">
      <c r="B86" s="4"/>
    </row>
    <row r="87" spans="2:15" ht="17.25">
      <c r="B87" s="14" t="s">
        <v>62</v>
      </c>
    </row>
    <row r="88" spans="2:15">
      <c r="B88" s="12" t="s">
        <v>1</v>
      </c>
      <c r="C88" s="12" t="s">
        <v>63</v>
      </c>
      <c r="D88" s="12" t="s">
        <v>64</v>
      </c>
      <c r="E88" s="12" t="s">
        <v>65</v>
      </c>
      <c r="F88" s="12" t="s">
        <v>66</v>
      </c>
      <c r="G88" s="12" t="s">
        <v>67</v>
      </c>
      <c r="H88" s="12" t="s">
        <v>68</v>
      </c>
      <c r="I88" s="12" t="s">
        <v>69</v>
      </c>
      <c r="J88" s="12" t="s">
        <v>70</v>
      </c>
      <c r="K88" s="12" t="s">
        <v>71</v>
      </c>
      <c r="L88" s="12" t="s">
        <v>67</v>
      </c>
    </row>
    <row r="89" spans="2:15">
      <c r="B89" s="1" t="s">
        <v>8</v>
      </c>
      <c r="C89" s="37">
        <v>-0.8</v>
      </c>
      <c r="D89" s="3">
        <f t="shared" ref="D89:D105" si="47">O48</f>
        <v>3.7257999999999978</v>
      </c>
      <c r="E89" s="37">
        <v>113</v>
      </c>
      <c r="F89" s="3">
        <f t="shared" ref="F89:F105" si="48">E89-$C$107</f>
        <v>1</v>
      </c>
      <c r="G89" s="1">
        <v>1</v>
      </c>
      <c r="H89" s="37">
        <v>1.2</v>
      </c>
      <c r="I89" s="3">
        <f t="shared" ref="I89:I105" si="49">O68</f>
        <v>0.90120000000000022</v>
      </c>
      <c r="J89" s="37">
        <v>107.1</v>
      </c>
      <c r="K89" s="3">
        <f t="shared" ref="K89:K105" si="50">$C$108-J89</f>
        <v>4.9000000000000057</v>
      </c>
      <c r="L89" s="1">
        <v>1</v>
      </c>
    </row>
    <row r="90" spans="2:15">
      <c r="B90" s="1" t="s">
        <v>27</v>
      </c>
      <c r="C90" s="37">
        <v>2.5</v>
      </c>
      <c r="D90" s="3">
        <f t="shared" si="47"/>
        <v>5.770696952908585</v>
      </c>
      <c r="E90" s="37">
        <v>114.4</v>
      </c>
      <c r="F90" s="3">
        <f t="shared" si="48"/>
        <v>2.4000000000000057</v>
      </c>
      <c r="G90" s="1">
        <v>1</v>
      </c>
      <c r="H90" s="37">
        <v>-1.1000000000000001</v>
      </c>
      <c r="I90" s="3">
        <f t="shared" si="49"/>
        <v>-1.6902004155124664</v>
      </c>
      <c r="J90" s="37">
        <v>108</v>
      </c>
      <c r="K90" s="3">
        <f t="shared" si="50"/>
        <v>4</v>
      </c>
      <c r="L90" s="1">
        <v>1</v>
      </c>
    </row>
    <row r="91" spans="2:15">
      <c r="B91" s="1" t="s">
        <v>20</v>
      </c>
      <c r="C91" s="37">
        <v>5.8</v>
      </c>
      <c r="D91" s="3">
        <f t="shared" si="47"/>
        <v>9.7276000000000007</v>
      </c>
      <c r="E91" s="37">
        <v>115.8</v>
      </c>
      <c r="F91" s="3">
        <f t="shared" si="48"/>
        <v>3.7999999999999972</v>
      </c>
      <c r="G91" s="1">
        <v>1</v>
      </c>
      <c r="H91" s="37">
        <v>4.2</v>
      </c>
      <c r="I91" s="3">
        <f t="shared" si="49"/>
        <v>-7.3000000000007503E-3</v>
      </c>
      <c r="J91" s="37">
        <v>105.7</v>
      </c>
      <c r="K91" s="3">
        <f t="shared" si="50"/>
        <v>6.2999999999999972</v>
      </c>
      <c r="L91" s="1">
        <v>1</v>
      </c>
    </row>
    <row r="92" spans="2:15">
      <c r="B92" s="1" t="s">
        <v>17</v>
      </c>
      <c r="C92" s="37">
        <v>4.0999999999999996</v>
      </c>
      <c r="D92" s="3">
        <f t="shared" si="47"/>
        <v>1.1379466983938125</v>
      </c>
      <c r="E92" s="37">
        <v>115.6</v>
      </c>
      <c r="F92" s="3">
        <f t="shared" si="48"/>
        <v>3.5999999999999943</v>
      </c>
      <c r="G92" s="1">
        <v>1</v>
      </c>
      <c r="H92" s="37">
        <v>-3.4</v>
      </c>
      <c r="I92" s="3">
        <f t="shared" si="49"/>
        <v>4.5171908982748379</v>
      </c>
      <c r="J92" s="37">
        <v>109.5</v>
      </c>
      <c r="K92" s="3">
        <f t="shared" si="50"/>
        <v>2.5</v>
      </c>
      <c r="L92" s="1">
        <v>1</v>
      </c>
    </row>
    <row r="93" spans="2:15">
      <c r="B93" s="1" t="s">
        <v>24</v>
      </c>
      <c r="C93" s="37">
        <v>-0.6</v>
      </c>
      <c r="D93" s="3">
        <f t="shared" si="47"/>
        <v>3.2465276643990943</v>
      </c>
      <c r="E93" s="37">
        <v>112.9</v>
      </c>
      <c r="F93" s="3">
        <f t="shared" si="48"/>
        <v>0.90000000000000568</v>
      </c>
      <c r="G93" s="1">
        <v>1</v>
      </c>
      <c r="H93" s="37">
        <v>2.2000000000000002</v>
      </c>
      <c r="I93" s="3">
        <f t="shared" si="49"/>
        <v>2.1086702947845817</v>
      </c>
      <c r="J93" s="37">
        <v>106.1</v>
      </c>
      <c r="K93" s="3">
        <f t="shared" si="50"/>
        <v>5.9000000000000057</v>
      </c>
      <c r="L93" s="1">
        <v>1</v>
      </c>
    </row>
    <row r="94" spans="2:15">
      <c r="B94" s="1" t="s">
        <v>10</v>
      </c>
      <c r="C94" s="37">
        <v>-3.1</v>
      </c>
      <c r="D94" s="3">
        <f t="shared" si="47"/>
        <v>0.79003818525519875</v>
      </c>
      <c r="E94" s="37">
        <v>111.3</v>
      </c>
      <c r="F94" s="3">
        <f t="shared" si="48"/>
        <v>-0.70000000000000284</v>
      </c>
      <c r="G94" s="1">
        <v>1</v>
      </c>
      <c r="H94" s="37">
        <v>4.3</v>
      </c>
      <c r="I94" s="3">
        <f t="shared" si="49"/>
        <v>4.0447327032136133</v>
      </c>
      <c r="J94" s="37">
        <v>104.7</v>
      </c>
      <c r="K94" s="3">
        <f t="shared" si="50"/>
        <v>7.2999999999999972</v>
      </c>
      <c r="L94" s="1">
        <v>1</v>
      </c>
    </row>
    <row r="95" spans="2:15">
      <c r="B95" s="1" t="s">
        <v>13</v>
      </c>
      <c r="C95" s="37">
        <v>-1.6</v>
      </c>
      <c r="D95" s="3">
        <f t="shared" si="47"/>
        <v>1.3936808515998926</v>
      </c>
      <c r="E95" s="37">
        <v>112.2</v>
      </c>
      <c r="F95" s="3">
        <f t="shared" si="48"/>
        <v>0.20000000000000284</v>
      </c>
      <c r="G95" s="1">
        <v>1</v>
      </c>
      <c r="H95" s="37">
        <v>-2.7</v>
      </c>
      <c r="I95" s="3">
        <f t="shared" si="49"/>
        <v>-0.8454810783572686</v>
      </c>
      <c r="J95" s="37">
        <v>109.4</v>
      </c>
      <c r="K95" s="3">
        <f t="shared" si="50"/>
        <v>2.5999999999999943</v>
      </c>
      <c r="L95" s="1">
        <v>1</v>
      </c>
    </row>
    <row r="96" spans="2:15">
      <c r="B96" s="1" t="s">
        <v>15</v>
      </c>
      <c r="C96" s="37">
        <v>2</v>
      </c>
      <c r="D96" s="3">
        <f t="shared" si="47"/>
        <v>4.1083952192025368</v>
      </c>
      <c r="E96" s="37">
        <v>114.7</v>
      </c>
      <c r="F96" s="3">
        <f t="shared" si="48"/>
        <v>2.7000000000000028</v>
      </c>
      <c r="G96" s="1">
        <v>1</v>
      </c>
      <c r="H96" s="37">
        <v>3.9</v>
      </c>
      <c r="I96" s="3">
        <f t="shared" si="49"/>
        <v>3.32470759769887</v>
      </c>
      <c r="J96" s="37">
        <v>104.9</v>
      </c>
      <c r="K96" s="3">
        <f t="shared" si="50"/>
        <v>7.0999999999999943</v>
      </c>
      <c r="L96" s="1">
        <v>1</v>
      </c>
    </row>
    <row r="97" spans="2:12">
      <c r="B97" s="1" t="s">
        <v>11</v>
      </c>
      <c r="C97" s="37">
        <v>-1.2</v>
      </c>
      <c r="D97" s="3">
        <f t="shared" si="47"/>
        <v>2.8487730612244899</v>
      </c>
      <c r="E97" s="37">
        <v>112.5</v>
      </c>
      <c r="F97" s="3">
        <f t="shared" si="48"/>
        <v>0.5</v>
      </c>
      <c r="G97" s="1">
        <v>1</v>
      </c>
      <c r="H97" s="37">
        <v>-4.0999999999999996</v>
      </c>
      <c r="I97" s="3">
        <f t="shared" si="49"/>
        <v>-0.70665795918367325</v>
      </c>
      <c r="J97" s="37">
        <v>110.4</v>
      </c>
      <c r="K97" s="3">
        <f t="shared" si="50"/>
        <v>1.5999999999999943</v>
      </c>
      <c r="L97" s="1">
        <v>1</v>
      </c>
    </row>
    <row r="98" spans="2:12">
      <c r="B98" s="1" t="s">
        <v>19</v>
      </c>
      <c r="C98" s="37">
        <v>-1.9</v>
      </c>
      <c r="D98" s="3">
        <f t="shared" si="47"/>
        <v>1.5172999999999934</v>
      </c>
      <c r="E98" s="37">
        <v>112</v>
      </c>
      <c r="F98" s="3">
        <f t="shared" si="48"/>
        <v>0</v>
      </c>
      <c r="G98" s="1">
        <v>1</v>
      </c>
      <c r="H98" s="37">
        <v>0.6</v>
      </c>
      <c r="I98" s="3">
        <f t="shared" si="49"/>
        <v>0.80419999999999892</v>
      </c>
      <c r="J98" s="37">
        <v>107.1</v>
      </c>
      <c r="K98" s="3">
        <f t="shared" si="50"/>
        <v>4.9000000000000057</v>
      </c>
      <c r="L98" s="1">
        <v>1</v>
      </c>
    </row>
    <row r="99" spans="2:12">
      <c r="B99" s="1" t="s">
        <v>12</v>
      </c>
      <c r="C99" s="37">
        <v>1.3</v>
      </c>
      <c r="D99" s="3">
        <f t="shared" si="47"/>
        <v>-0.22393053105648342</v>
      </c>
      <c r="E99" s="37">
        <v>114.3</v>
      </c>
      <c r="F99" s="3">
        <f t="shared" si="48"/>
        <v>2.2999999999999972</v>
      </c>
      <c r="G99" s="1">
        <v>1</v>
      </c>
      <c r="H99" s="37">
        <v>-2.7</v>
      </c>
      <c r="I99" s="3">
        <f t="shared" si="49"/>
        <v>0.81129756051791979</v>
      </c>
      <c r="J99" s="37">
        <v>109.6</v>
      </c>
      <c r="K99" s="3">
        <f t="shared" si="50"/>
        <v>2.4000000000000057</v>
      </c>
      <c r="L99" s="1">
        <v>1</v>
      </c>
    </row>
    <row r="100" spans="2:12">
      <c r="B100" s="1" t="s">
        <v>16</v>
      </c>
      <c r="C100" s="37">
        <v>1.2</v>
      </c>
      <c r="D100" s="3">
        <f t="shared" si="47"/>
        <v>6.9155999999999924</v>
      </c>
      <c r="E100" s="37">
        <v>114.2</v>
      </c>
      <c r="F100" s="3">
        <f t="shared" si="48"/>
        <v>2.2000000000000028</v>
      </c>
      <c r="G100" s="1">
        <v>1</v>
      </c>
      <c r="H100" s="37">
        <v>-4</v>
      </c>
      <c r="I100" s="3">
        <f t="shared" si="49"/>
        <v>-0.83469999999999889</v>
      </c>
      <c r="J100" s="37">
        <v>110.6</v>
      </c>
      <c r="K100" s="3">
        <f t="shared" si="50"/>
        <v>1.4000000000000057</v>
      </c>
      <c r="L100" s="1">
        <v>1</v>
      </c>
    </row>
    <row r="101" spans="2:12">
      <c r="B101" s="1" t="s">
        <v>29</v>
      </c>
      <c r="C101" s="37">
        <v>-5.3</v>
      </c>
      <c r="D101" s="3">
        <f t="shared" si="47"/>
        <v>1.6941810650887525</v>
      </c>
      <c r="E101" s="37">
        <v>108.8</v>
      </c>
      <c r="F101" s="3">
        <f t="shared" si="48"/>
        <v>-3.2000000000000028</v>
      </c>
      <c r="G101" s="1">
        <v>1</v>
      </c>
      <c r="H101" s="37">
        <v>-4.9000000000000004</v>
      </c>
      <c r="I101" s="3">
        <f t="shared" si="49"/>
        <v>-1.4233038461538454</v>
      </c>
      <c r="J101" s="37">
        <v>111.7</v>
      </c>
      <c r="K101" s="3">
        <f t="shared" si="50"/>
        <v>0.29999999999999716</v>
      </c>
      <c r="L101" s="1">
        <v>1</v>
      </c>
    </row>
    <row r="102" spans="2:12">
      <c r="B102" s="1" t="s">
        <v>26</v>
      </c>
      <c r="C102" s="37">
        <v>-4.5</v>
      </c>
      <c r="D102" s="3">
        <f t="shared" si="47"/>
        <v>0.82499999999999751</v>
      </c>
      <c r="E102" s="37">
        <v>109.5</v>
      </c>
      <c r="F102" s="3">
        <f t="shared" si="48"/>
        <v>-2.5</v>
      </c>
      <c r="G102" s="1">
        <v>1</v>
      </c>
      <c r="H102" s="37">
        <v>9.6999999999999993</v>
      </c>
      <c r="I102" s="3">
        <f t="shared" si="49"/>
        <v>2.1627000000000001</v>
      </c>
      <c r="J102" s="37">
        <v>99.3</v>
      </c>
      <c r="K102" s="3">
        <f t="shared" si="50"/>
        <v>12.700000000000003</v>
      </c>
      <c r="L102" s="1">
        <v>1</v>
      </c>
    </row>
    <row r="103" spans="2:12">
      <c r="B103" s="1" t="s">
        <v>22</v>
      </c>
      <c r="C103" s="37">
        <v>-9.1999999999999993</v>
      </c>
      <c r="D103" s="3">
        <f t="shared" si="47"/>
        <v>-3.5743532871972348</v>
      </c>
      <c r="E103" s="37">
        <v>105</v>
      </c>
      <c r="F103" s="3">
        <f t="shared" si="48"/>
        <v>-7</v>
      </c>
      <c r="G103" s="1">
        <v>1</v>
      </c>
      <c r="H103" s="37">
        <v>-4.9000000000000004</v>
      </c>
      <c r="I103" s="3">
        <f t="shared" si="49"/>
        <v>-2.0168356401384084</v>
      </c>
      <c r="J103" s="37">
        <v>112</v>
      </c>
      <c r="K103" s="3">
        <f t="shared" si="50"/>
        <v>0</v>
      </c>
      <c r="L103" s="1">
        <v>1</v>
      </c>
    </row>
    <row r="104" spans="2:12">
      <c r="B104" s="1" t="s">
        <v>30</v>
      </c>
      <c r="C104" s="37">
        <v>5.8</v>
      </c>
      <c r="D104" s="3">
        <f t="shared" si="47"/>
        <v>1.8833000000000011</v>
      </c>
      <c r="E104" s="37">
        <v>119</v>
      </c>
      <c r="F104" s="3">
        <f t="shared" si="48"/>
        <v>7</v>
      </c>
      <c r="G104" s="1">
        <v>1</v>
      </c>
      <c r="H104" s="37">
        <v>-18.7</v>
      </c>
      <c r="I104" s="3">
        <f t="shared" si="49"/>
        <v>-0.15519999999999978</v>
      </c>
      <c r="J104" s="37">
        <v>125.9</v>
      </c>
      <c r="K104" s="3">
        <f t="shared" si="50"/>
        <v>-13.900000000000006</v>
      </c>
      <c r="L104" s="1">
        <v>1</v>
      </c>
    </row>
    <row r="105" spans="2:12">
      <c r="B105" s="15" t="s">
        <v>23</v>
      </c>
      <c r="C105" s="38">
        <v>2.5</v>
      </c>
      <c r="D105" s="32">
        <f t="shared" si="47"/>
        <v>-1.7691000000000003</v>
      </c>
      <c r="E105" s="38">
        <v>115.8</v>
      </c>
      <c r="F105" s="32">
        <f t="shared" si="48"/>
        <v>3.7999999999999972</v>
      </c>
      <c r="G105" s="15">
        <v>1</v>
      </c>
      <c r="H105" s="38">
        <v>0.8</v>
      </c>
      <c r="I105" s="32">
        <f t="shared" si="49"/>
        <v>-0.13840000000000074</v>
      </c>
      <c r="J105" s="38">
        <v>87.5</v>
      </c>
      <c r="K105" s="32">
        <f t="shared" si="50"/>
        <v>24.5</v>
      </c>
      <c r="L105" s="15">
        <v>1</v>
      </c>
    </row>
    <row r="106" spans="2:12">
      <c r="C106" s="19"/>
      <c r="E106" s="19"/>
      <c r="H106" s="19"/>
      <c r="J106" s="19"/>
    </row>
    <row r="107" spans="2:12">
      <c r="B107" s="30" t="s">
        <v>72</v>
      </c>
      <c r="C107" s="23">
        <v>112</v>
      </c>
    </row>
    <row r="108" spans="2:12">
      <c r="B108" s="29" t="s">
        <v>73</v>
      </c>
      <c r="C108" s="28">
        <v>112</v>
      </c>
    </row>
    <row r="112" spans="2:12">
      <c r="B112" s="12" t="s">
        <v>42</v>
      </c>
      <c r="C112" s="12" t="s">
        <v>63</v>
      </c>
      <c r="D112" s="12" t="s">
        <v>64</v>
      </c>
      <c r="E112" s="12" t="s">
        <v>66</v>
      </c>
      <c r="F112" s="12" t="s">
        <v>67</v>
      </c>
      <c r="G112" s="12"/>
      <c r="H112" s="12"/>
      <c r="I112" s="12" t="s">
        <v>68</v>
      </c>
      <c r="J112" s="12" t="s">
        <v>69</v>
      </c>
      <c r="K112" s="12" t="s">
        <v>71</v>
      </c>
      <c r="L112" s="12" t="s">
        <v>67</v>
      </c>
    </row>
    <row r="113" spans="2:15">
      <c r="B113" s="27" t="s">
        <v>74</v>
      </c>
      <c r="C113" s="22">
        <v>0.24709999999999999</v>
      </c>
      <c r="D113" s="22">
        <v>0.47889999999999999</v>
      </c>
      <c r="E113" s="22">
        <v>0.2054</v>
      </c>
      <c r="F113" s="22">
        <v>-0.2918</v>
      </c>
      <c r="G113" s="22"/>
      <c r="H113" s="22"/>
      <c r="I113" s="22">
        <v>0.42749999999999999</v>
      </c>
      <c r="J113" s="22">
        <v>0.50309999999999999</v>
      </c>
      <c r="K113" s="27">
        <v>0.29599999999999999</v>
      </c>
      <c r="L113" s="27">
        <v>5.0000000000000001E-3</v>
      </c>
    </row>
    <row r="115" spans="2:15" ht="17.25">
      <c r="B115" s="14" t="s">
        <v>75</v>
      </c>
    </row>
    <row r="116" spans="2:15">
      <c r="B116" s="12" t="s">
        <v>1</v>
      </c>
      <c r="C116" s="12" t="s">
        <v>63</v>
      </c>
      <c r="D116" s="12" t="s">
        <v>64</v>
      </c>
      <c r="E116" s="12" t="s">
        <v>66</v>
      </c>
      <c r="F116" s="12" t="s">
        <v>67</v>
      </c>
      <c r="G116" s="12" t="s">
        <v>76</v>
      </c>
      <c r="H116" s="12"/>
      <c r="I116" s="12" t="s">
        <v>68</v>
      </c>
      <c r="J116" s="12" t="s">
        <v>69</v>
      </c>
      <c r="K116" s="12" t="s">
        <v>71</v>
      </c>
      <c r="L116" s="12" t="s">
        <v>67</v>
      </c>
      <c r="M116" s="13" t="s">
        <v>77</v>
      </c>
      <c r="N116" s="12"/>
      <c r="O116" s="12" t="s">
        <v>78</v>
      </c>
    </row>
    <row r="117" spans="2:15">
      <c r="B117" s="1" t="s">
        <v>8</v>
      </c>
      <c r="C117" s="2">
        <f t="shared" ref="C117:D133" si="51">C89*C$113</f>
        <v>-0.19767999999999999</v>
      </c>
      <c r="D117" s="2">
        <f t="shared" si="51"/>
        <v>1.784285619999999</v>
      </c>
      <c r="E117" s="2">
        <f t="shared" ref="E117:F133" si="52">F89*E$113</f>
        <v>0.2054</v>
      </c>
      <c r="F117" s="2">
        <f t="shared" si="52"/>
        <v>-0.2918</v>
      </c>
      <c r="G117" s="2">
        <f>SUM(C117:F117)</f>
        <v>1.5002056199999989</v>
      </c>
      <c r="H117" s="2"/>
      <c r="I117" s="2">
        <f t="shared" ref="I117:J133" si="53">H89*I$113</f>
        <v>0.51300000000000001</v>
      </c>
      <c r="J117" s="2">
        <f t="shared" si="53"/>
        <v>0.45339372000000011</v>
      </c>
      <c r="K117" s="2">
        <f t="shared" ref="K117:L133" si="54">K89*K$113</f>
        <v>1.4504000000000017</v>
      </c>
      <c r="L117" s="2">
        <f t="shared" si="54"/>
        <v>5.0000000000000001E-3</v>
      </c>
      <c r="M117" s="2">
        <f>SUM(I117:L117)</f>
        <v>2.4217937200000019</v>
      </c>
      <c r="N117" s="2"/>
      <c r="O117" s="2">
        <f t="shared" ref="O117:O133" si="55">G117+M117</f>
        <v>3.9219993400000011</v>
      </c>
    </row>
    <row r="118" spans="2:15">
      <c r="B118" s="1" t="s">
        <v>27</v>
      </c>
      <c r="C118" s="2">
        <f t="shared" si="51"/>
        <v>0.61775000000000002</v>
      </c>
      <c r="D118" s="2">
        <f t="shared" si="51"/>
        <v>2.7635867707479211</v>
      </c>
      <c r="E118" s="2">
        <f t="shared" si="52"/>
        <v>0.49296000000000118</v>
      </c>
      <c r="F118" s="2">
        <f t="shared" si="52"/>
        <v>-0.2918</v>
      </c>
      <c r="G118" s="2">
        <f t="shared" ref="G118:G133" si="56">SUM(C118:F118)</f>
        <v>3.5824967707479227</v>
      </c>
      <c r="H118" s="2"/>
      <c r="I118" s="2">
        <f t="shared" si="53"/>
        <v>-0.47025</v>
      </c>
      <c r="J118" s="2">
        <f t="shared" si="53"/>
        <v>-0.85033982904432182</v>
      </c>
      <c r="K118" s="2">
        <f t="shared" si="54"/>
        <v>1.1839999999999999</v>
      </c>
      <c r="L118" s="2">
        <f t="shared" si="54"/>
        <v>5.0000000000000001E-3</v>
      </c>
      <c r="M118" s="2">
        <f t="shared" ref="M118:M133" si="57">SUM(I118:L118)</f>
        <v>-0.13158982904432193</v>
      </c>
      <c r="N118" s="2"/>
      <c r="O118" s="2">
        <f t="shared" si="55"/>
        <v>3.4509069417036007</v>
      </c>
    </row>
    <row r="119" spans="2:15">
      <c r="B119" s="1" t="s">
        <v>20</v>
      </c>
      <c r="C119" s="2">
        <f t="shared" si="51"/>
        <v>1.4331799999999999</v>
      </c>
      <c r="D119" s="2">
        <f t="shared" si="51"/>
        <v>4.6585476400000001</v>
      </c>
      <c r="E119" s="2">
        <f t="shared" si="52"/>
        <v>0.78051999999999944</v>
      </c>
      <c r="F119" s="2">
        <f t="shared" si="52"/>
        <v>-0.2918</v>
      </c>
      <c r="G119" s="2">
        <f t="shared" si="56"/>
        <v>6.5804476399999992</v>
      </c>
      <c r="H119" s="2"/>
      <c r="I119" s="2">
        <f t="shared" si="53"/>
        <v>1.7955000000000001</v>
      </c>
      <c r="J119" s="2">
        <f t="shared" si="53"/>
        <v>-3.6726300000003774E-3</v>
      </c>
      <c r="K119" s="2">
        <f t="shared" si="54"/>
        <v>1.8647999999999991</v>
      </c>
      <c r="L119" s="2">
        <f t="shared" si="54"/>
        <v>5.0000000000000001E-3</v>
      </c>
      <c r="M119" s="2">
        <f t="shared" si="57"/>
        <v>3.6616273699999988</v>
      </c>
      <c r="N119" s="2"/>
      <c r="O119" s="2">
        <f t="shared" si="55"/>
        <v>10.242075009999997</v>
      </c>
    </row>
    <row r="120" spans="2:15">
      <c r="B120" s="1" t="s">
        <v>17</v>
      </c>
      <c r="C120" s="2">
        <f t="shared" si="51"/>
        <v>1.01311</v>
      </c>
      <c r="D120" s="2">
        <f t="shared" si="51"/>
        <v>0.54496267386079678</v>
      </c>
      <c r="E120" s="2">
        <f t="shared" si="52"/>
        <v>0.73943999999999888</v>
      </c>
      <c r="F120" s="2">
        <f t="shared" si="52"/>
        <v>-0.2918</v>
      </c>
      <c r="G120" s="2">
        <f t="shared" si="56"/>
        <v>2.0057126738607955</v>
      </c>
      <c r="H120" s="2"/>
      <c r="I120" s="2">
        <f t="shared" si="53"/>
        <v>-1.4535</v>
      </c>
      <c r="J120" s="2">
        <f t="shared" si="53"/>
        <v>2.2725987409220707</v>
      </c>
      <c r="K120" s="2">
        <f t="shared" si="54"/>
        <v>0.74</v>
      </c>
      <c r="L120" s="2">
        <f t="shared" si="54"/>
        <v>5.0000000000000001E-3</v>
      </c>
      <c r="M120" s="2">
        <f t="shared" si="57"/>
        <v>1.5640987409220706</v>
      </c>
      <c r="N120" s="2"/>
      <c r="O120" s="2">
        <f t="shared" si="55"/>
        <v>3.5698114147828663</v>
      </c>
    </row>
    <row r="121" spans="2:15">
      <c r="B121" s="1" t="s">
        <v>24</v>
      </c>
      <c r="C121" s="2">
        <f t="shared" si="51"/>
        <v>-0.14825999999999998</v>
      </c>
      <c r="D121" s="2">
        <f t="shared" si="51"/>
        <v>1.5547620984807262</v>
      </c>
      <c r="E121" s="2">
        <f t="shared" si="52"/>
        <v>0.18486000000000116</v>
      </c>
      <c r="F121" s="2">
        <f t="shared" si="52"/>
        <v>-0.2918</v>
      </c>
      <c r="G121" s="2">
        <f t="shared" si="56"/>
        <v>1.2995620984807272</v>
      </c>
      <c r="H121" s="2"/>
      <c r="I121" s="2">
        <f t="shared" si="53"/>
        <v>0.9405</v>
      </c>
      <c r="J121" s="2">
        <f t="shared" si="53"/>
        <v>1.060872025306123</v>
      </c>
      <c r="K121" s="2">
        <f t="shared" si="54"/>
        <v>1.7464000000000015</v>
      </c>
      <c r="L121" s="2">
        <f t="shared" si="54"/>
        <v>5.0000000000000001E-3</v>
      </c>
      <c r="M121" s="2">
        <f t="shared" si="57"/>
        <v>3.7527720253061245</v>
      </c>
      <c r="N121" s="2"/>
      <c r="O121" s="2">
        <f t="shared" si="55"/>
        <v>5.052334123786852</v>
      </c>
    </row>
    <row r="122" spans="2:15">
      <c r="B122" s="1" t="s">
        <v>10</v>
      </c>
      <c r="C122" s="2">
        <f t="shared" si="51"/>
        <v>-0.76600999999999997</v>
      </c>
      <c r="D122" s="2">
        <f t="shared" si="51"/>
        <v>0.37834928691871467</v>
      </c>
      <c r="E122" s="2">
        <f t="shared" si="52"/>
        <v>-0.14378000000000057</v>
      </c>
      <c r="F122" s="2">
        <f t="shared" si="52"/>
        <v>-0.2918</v>
      </c>
      <c r="G122" s="2">
        <f t="shared" si="56"/>
        <v>-0.82324071308128599</v>
      </c>
      <c r="H122" s="2"/>
      <c r="I122" s="2">
        <f t="shared" si="53"/>
        <v>1.8382499999999999</v>
      </c>
      <c r="J122" s="2">
        <f t="shared" si="53"/>
        <v>2.0349050229867687</v>
      </c>
      <c r="K122" s="2">
        <f t="shared" si="54"/>
        <v>2.1607999999999992</v>
      </c>
      <c r="L122" s="2">
        <f t="shared" si="54"/>
        <v>5.0000000000000001E-3</v>
      </c>
      <c r="M122" s="2">
        <f t="shared" si="57"/>
        <v>6.0389550229867677</v>
      </c>
      <c r="N122" s="2"/>
      <c r="O122" s="2">
        <f t="shared" si="55"/>
        <v>5.2157143099054819</v>
      </c>
    </row>
    <row r="123" spans="2:15">
      <c r="B123" s="1" t="s">
        <v>13</v>
      </c>
      <c r="C123" s="2">
        <f t="shared" si="51"/>
        <v>-0.39535999999999999</v>
      </c>
      <c r="D123" s="2">
        <f t="shared" si="51"/>
        <v>0.66743375983118858</v>
      </c>
      <c r="E123" s="2">
        <f t="shared" si="52"/>
        <v>4.1080000000000581E-2</v>
      </c>
      <c r="F123" s="2">
        <f t="shared" si="52"/>
        <v>-0.2918</v>
      </c>
      <c r="G123" s="2">
        <f t="shared" si="56"/>
        <v>2.1353759831189145E-2</v>
      </c>
      <c r="H123" s="2"/>
      <c r="I123" s="2">
        <f t="shared" si="53"/>
        <v>-1.15425</v>
      </c>
      <c r="J123" s="2">
        <f t="shared" si="53"/>
        <v>-0.42536153052154185</v>
      </c>
      <c r="K123" s="2">
        <f t="shared" si="54"/>
        <v>0.76959999999999829</v>
      </c>
      <c r="L123" s="2">
        <f t="shared" si="54"/>
        <v>5.0000000000000001E-3</v>
      </c>
      <c r="M123" s="2">
        <f t="shared" si="57"/>
        <v>-0.80501153052154362</v>
      </c>
      <c r="N123" s="2"/>
      <c r="O123" s="2">
        <f t="shared" si="55"/>
        <v>-0.78365777069035447</v>
      </c>
    </row>
    <row r="124" spans="2:15">
      <c r="B124" s="1" t="s">
        <v>15</v>
      </c>
      <c r="C124" s="2">
        <f t="shared" si="51"/>
        <v>0.49419999999999997</v>
      </c>
      <c r="D124" s="2">
        <f t="shared" si="51"/>
        <v>1.9675104704760948</v>
      </c>
      <c r="E124" s="2">
        <f t="shared" si="52"/>
        <v>0.55458000000000063</v>
      </c>
      <c r="F124" s="2">
        <f t="shared" si="52"/>
        <v>-0.2918</v>
      </c>
      <c r="G124" s="2">
        <f t="shared" si="56"/>
        <v>2.7244904704760953</v>
      </c>
      <c r="H124" s="2"/>
      <c r="I124" s="2">
        <f t="shared" si="53"/>
        <v>1.6672499999999999</v>
      </c>
      <c r="J124" s="2">
        <f t="shared" si="53"/>
        <v>1.6726603924023016</v>
      </c>
      <c r="K124" s="2">
        <f t="shared" si="54"/>
        <v>2.1015999999999981</v>
      </c>
      <c r="L124" s="2">
        <f t="shared" si="54"/>
        <v>5.0000000000000001E-3</v>
      </c>
      <c r="M124" s="2">
        <f t="shared" si="57"/>
        <v>5.4465103924022999</v>
      </c>
      <c r="N124" s="2"/>
      <c r="O124" s="2">
        <f t="shared" si="55"/>
        <v>8.1710008628783957</v>
      </c>
    </row>
    <row r="125" spans="2:15">
      <c r="B125" s="1" t="s">
        <v>11</v>
      </c>
      <c r="C125" s="2">
        <f t="shared" si="51"/>
        <v>-0.29651999999999995</v>
      </c>
      <c r="D125" s="2">
        <f t="shared" si="51"/>
        <v>1.3642774190204081</v>
      </c>
      <c r="E125" s="2">
        <f t="shared" si="52"/>
        <v>0.1027</v>
      </c>
      <c r="F125" s="2">
        <f t="shared" si="52"/>
        <v>-0.2918</v>
      </c>
      <c r="G125" s="2">
        <f t="shared" si="56"/>
        <v>0.87865741902040817</v>
      </c>
      <c r="H125" s="2"/>
      <c r="I125" s="2">
        <f t="shared" si="53"/>
        <v>-1.7527499999999998</v>
      </c>
      <c r="J125" s="2">
        <f t="shared" si="53"/>
        <v>-0.35551961926530601</v>
      </c>
      <c r="K125" s="2">
        <f t="shared" si="54"/>
        <v>0.4735999999999983</v>
      </c>
      <c r="L125" s="2">
        <f t="shared" si="54"/>
        <v>5.0000000000000001E-3</v>
      </c>
      <c r="M125" s="2">
        <f t="shared" si="57"/>
        <v>-1.6296696192653075</v>
      </c>
      <c r="N125" s="2"/>
      <c r="O125" s="2">
        <f t="shared" si="55"/>
        <v>-0.75101220024489934</v>
      </c>
    </row>
    <row r="126" spans="2:15">
      <c r="B126" s="1" t="s">
        <v>19</v>
      </c>
      <c r="C126" s="2">
        <f t="shared" si="51"/>
        <v>-0.46948999999999996</v>
      </c>
      <c r="D126" s="2">
        <f t="shared" si="51"/>
        <v>0.72663496999999688</v>
      </c>
      <c r="E126" s="2">
        <f t="shared" si="52"/>
        <v>0</v>
      </c>
      <c r="F126" s="2">
        <f t="shared" si="52"/>
        <v>-0.2918</v>
      </c>
      <c r="G126" s="2">
        <f t="shared" si="56"/>
        <v>-3.4655030000003084E-2</v>
      </c>
      <c r="H126" s="2"/>
      <c r="I126" s="2">
        <f t="shared" si="53"/>
        <v>0.25650000000000001</v>
      </c>
      <c r="J126" s="2">
        <f t="shared" si="53"/>
        <v>0.40459301999999947</v>
      </c>
      <c r="K126" s="2">
        <f t="shared" si="54"/>
        <v>1.4504000000000017</v>
      </c>
      <c r="L126" s="2">
        <f t="shared" si="54"/>
        <v>5.0000000000000001E-3</v>
      </c>
      <c r="M126" s="2">
        <f t="shared" si="57"/>
        <v>2.1164930200000009</v>
      </c>
      <c r="N126" s="2"/>
      <c r="O126" s="2">
        <f t="shared" si="55"/>
        <v>2.0818379899999977</v>
      </c>
    </row>
    <row r="127" spans="2:15">
      <c r="B127" s="1" t="s">
        <v>12</v>
      </c>
      <c r="C127" s="2">
        <f t="shared" si="51"/>
        <v>0.32123000000000002</v>
      </c>
      <c r="D127" s="2">
        <f t="shared" si="51"/>
        <v>-0.10724033132294991</v>
      </c>
      <c r="E127" s="2">
        <f t="shared" si="52"/>
        <v>0.4724199999999994</v>
      </c>
      <c r="F127" s="2">
        <f t="shared" si="52"/>
        <v>-0.2918</v>
      </c>
      <c r="G127" s="2">
        <f t="shared" si="56"/>
        <v>0.39460966867704955</v>
      </c>
      <c r="H127" s="2"/>
      <c r="I127" s="2">
        <f t="shared" si="53"/>
        <v>-1.15425</v>
      </c>
      <c r="J127" s="2">
        <f t="shared" si="53"/>
        <v>0.40816380269656544</v>
      </c>
      <c r="K127" s="2">
        <f t="shared" si="54"/>
        <v>0.7104000000000017</v>
      </c>
      <c r="L127" s="2">
        <f t="shared" si="54"/>
        <v>5.0000000000000001E-3</v>
      </c>
      <c r="M127" s="2">
        <f t="shared" si="57"/>
        <v>-3.0686197303432809E-2</v>
      </c>
      <c r="N127" s="2"/>
      <c r="O127" s="2">
        <f t="shared" si="55"/>
        <v>0.36392347137361675</v>
      </c>
    </row>
    <row r="128" spans="2:15">
      <c r="B128" s="1" t="s">
        <v>16</v>
      </c>
      <c r="C128" s="2">
        <f t="shared" si="51"/>
        <v>0.29651999999999995</v>
      </c>
      <c r="D128" s="2">
        <f t="shared" si="51"/>
        <v>3.3118808399999962</v>
      </c>
      <c r="E128" s="2">
        <f t="shared" si="52"/>
        <v>0.45188000000000056</v>
      </c>
      <c r="F128" s="2">
        <f t="shared" si="52"/>
        <v>-0.2918</v>
      </c>
      <c r="G128" s="2">
        <f t="shared" si="56"/>
        <v>3.7684808399999974</v>
      </c>
      <c r="H128" s="2"/>
      <c r="I128" s="2">
        <f t="shared" si="53"/>
        <v>-1.71</v>
      </c>
      <c r="J128" s="2">
        <f t="shared" si="53"/>
        <v>-0.41993756999999943</v>
      </c>
      <c r="K128" s="2">
        <f t="shared" si="54"/>
        <v>0.41440000000000166</v>
      </c>
      <c r="L128" s="2">
        <f t="shared" si="54"/>
        <v>5.0000000000000001E-3</v>
      </c>
      <c r="M128" s="2">
        <f t="shared" si="57"/>
        <v>-1.7105375699999976</v>
      </c>
      <c r="N128" s="2"/>
      <c r="O128" s="2">
        <f t="shared" si="55"/>
        <v>2.05794327</v>
      </c>
    </row>
    <row r="129" spans="2:15">
      <c r="B129" s="1" t="s">
        <v>29</v>
      </c>
      <c r="C129" s="2">
        <f t="shared" si="51"/>
        <v>-1.3096299999999998</v>
      </c>
      <c r="D129" s="2">
        <f t="shared" si="51"/>
        <v>0.81134331207100363</v>
      </c>
      <c r="E129" s="2">
        <f t="shared" si="52"/>
        <v>-0.65728000000000053</v>
      </c>
      <c r="F129" s="2">
        <f t="shared" si="52"/>
        <v>-0.2918</v>
      </c>
      <c r="G129" s="2">
        <f t="shared" si="56"/>
        <v>-1.4473666879289968</v>
      </c>
      <c r="H129" s="2"/>
      <c r="I129" s="2">
        <f t="shared" si="53"/>
        <v>-2.0947499999999999</v>
      </c>
      <c r="J129" s="2">
        <f t="shared" si="53"/>
        <v>-0.71606416499999959</v>
      </c>
      <c r="K129" s="2">
        <f t="shared" si="54"/>
        <v>8.8799999999999157E-2</v>
      </c>
      <c r="L129" s="2">
        <f t="shared" si="54"/>
        <v>5.0000000000000001E-3</v>
      </c>
      <c r="M129" s="2">
        <f t="shared" si="57"/>
        <v>-2.7170141650000006</v>
      </c>
      <c r="N129" s="2"/>
      <c r="O129" s="2">
        <f t="shared" si="55"/>
        <v>-4.1643808529289972</v>
      </c>
    </row>
    <row r="130" spans="2:15">
      <c r="B130" s="1" t="s">
        <v>26</v>
      </c>
      <c r="C130" s="2">
        <f t="shared" si="51"/>
        <v>-1.11195</v>
      </c>
      <c r="D130" s="2">
        <f t="shared" si="51"/>
        <v>0.39509249999999879</v>
      </c>
      <c r="E130" s="2">
        <f t="shared" si="52"/>
        <v>-0.51349999999999996</v>
      </c>
      <c r="F130" s="2">
        <f t="shared" si="52"/>
        <v>-0.2918</v>
      </c>
      <c r="G130" s="2">
        <f t="shared" si="56"/>
        <v>-1.5221575000000012</v>
      </c>
      <c r="H130" s="2"/>
      <c r="I130" s="2">
        <f t="shared" si="53"/>
        <v>4.1467499999999999</v>
      </c>
      <c r="J130" s="2">
        <f t="shared" si="53"/>
        <v>1.08805437</v>
      </c>
      <c r="K130" s="2">
        <f t="shared" si="54"/>
        <v>3.7592000000000008</v>
      </c>
      <c r="L130" s="2">
        <f t="shared" si="54"/>
        <v>5.0000000000000001E-3</v>
      </c>
      <c r="M130" s="2">
        <f t="shared" si="57"/>
        <v>8.9990043700000015</v>
      </c>
      <c r="N130" s="2"/>
      <c r="O130" s="2">
        <f t="shared" si="55"/>
        <v>7.4768468700000001</v>
      </c>
    </row>
    <row r="131" spans="2:15">
      <c r="B131" s="1" t="s">
        <v>22</v>
      </c>
      <c r="C131" s="2">
        <f t="shared" si="51"/>
        <v>-2.2733199999999996</v>
      </c>
      <c r="D131" s="2">
        <f t="shared" si="51"/>
        <v>-1.7117577892387557</v>
      </c>
      <c r="E131" s="2">
        <f t="shared" si="52"/>
        <v>-1.4378</v>
      </c>
      <c r="F131" s="2">
        <f t="shared" si="52"/>
        <v>-0.2918</v>
      </c>
      <c r="G131" s="2">
        <f t="shared" si="56"/>
        <v>-5.7146777892387552</v>
      </c>
      <c r="H131" s="2"/>
      <c r="I131" s="2">
        <f t="shared" si="53"/>
        <v>-2.0947499999999999</v>
      </c>
      <c r="J131" s="2">
        <f t="shared" si="53"/>
        <v>-1.0146700105536333</v>
      </c>
      <c r="K131" s="2">
        <f t="shared" si="54"/>
        <v>0</v>
      </c>
      <c r="L131" s="2">
        <f t="shared" si="54"/>
        <v>5.0000000000000001E-3</v>
      </c>
      <c r="M131" s="2">
        <f t="shared" si="57"/>
        <v>-3.1044200105536333</v>
      </c>
      <c r="N131" s="2"/>
      <c r="O131" s="2">
        <f t="shared" si="55"/>
        <v>-8.8190977997923881</v>
      </c>
    </row>
    <row r="132" spans="2:15">
      <c r="B132" s="1" t="s">
        <v>30</v>
      </c>
      <c r="C132" s="2">
        <f t="shared" si="51"/>
        <v>1.4331799999999999</v>
      </c>
      <c r="D132" s="2">
        <f t="shared" si="51"/>
        <v>0.90191237000000046</v>
      </c>
      <c r="E132" s="2">
        <f t="shared" si="52"/>
        <v>1.4378</v>
      </c>
      <c r="F132" s="2">
        <f t="shared" si="52"/>
        <v>-0.2918</v>
      </c>
      <c r="G132" s="2">
        <f t="shared" si="56"/>
        <v>3.4810923700000003</v>
      </c>
      <c r="H132" s="2"/>
      <c r="I132" s="2">
        <f t="shared" si="53"/>
        <v>-7.9942499999999992</v>
      </c>
      <c r="J132" s="2">
        <f t="shared" si="53"/>
        <v>-7.8081119999999893E-2</v>
      </c>
      <c r="K132" s="2">
        <f t="shared" si="54"/>
        <v>-4.1144000000000016</v>
      </c>
      <c r="L132" s="2">
        <f t="shared" si="54"/>
        <v>5.0000000000000001E-3</v>
      </c>
      <c r="M132" s="2">
        <f t="shared" si="57"/>
        <v>-12.18173112</v>
      </c>
      <c r="N132" s="2"/>
      <c r="O132" s="2">
        <f t="shared" si="55"/>
        <v>-8.7006387499999995</v>
      </c>
    </row>
    <row r="133" spans="2:15">
      <c r="B133" s="15" t="s">
        <v>23</v>
      </c>
      <c r="C133" s="16">
        <f t="shared" si="51"/>
        <v>0.61775000000000002</v>
      </c>
      <c r="D133" s="16">
        <f t="shared" si="51"/>
        <v>-0.8472219900000002</v>
      </c>
      <c r="E133" s="16">
        <f t="shared" si="52"/>
        <v>0.78051999999999944</v>
      </c>
      <c r="F133" s="16">
        <f t="shared" si="52"/>
        <v>-0.2918</v>
      </c>
      <c r="G133" s="16">
        <f t="shared" si="56"/>
        <v>0.25924800999999925</v>
      </c>
      <c r="H133" s="16"/>
      <c r="I133" s="16">
        <f t="shared" si="53"/>
        <v>0.34200000000000003</v>
      </c>
      <c r="J133" s="16">
        <f t="shared" si="53"/>
        <v>-6.9629040000000378E-2</v>
      </c>
      <c r="K133" s="16">
        <f t="shared" si="54"/>
        <v>7.2519999999999998</v>
      </c>
      <c r="L133" s="16">
        <f t="shared" si="54"/>
        <v>5.0000000000000001E-3</v>
      </c>
      <c r="M133" s="16">
        <f t="shared" si="57"/>
        <v>7.5293709599999996</v>
      </c>
      <c r="N133" s="16"/>
      <c r="O133" s="16">
        <f t="shared" si="55"/>
        <v>7.788618969999999</v>
      </c>
    </row>
    <row r="135" spans="2:15" ht="17.25">
      <c r="B135" s="14" t="s">
        <v>79</v>
      </c>
    </row>
    <row r="136" spans="2:15">
      <c r="B136" s="12" t="s">
        <v>1</v>
      </c>
      <c r="C136" s="12" t="s">
        <v>76</v>
      </c>
      <c r="D136" s="12" t="s">
        <v>77</v>
      </c>
      <c r="E136" s="12" t="s">
        <v>80</v>
      </c>
      <c r="F136" s="12" t="s">
        <v>81</v>
      </c>
      <c r="G136" s="12" t="s">
        <v>82</v>
      </c>
      <c r="H136" s="12" t="s">
        <v>83</v>
      </c>
    </row>
    <row r="137" spans="2:15">
      <c r="B137" s="1" t="s">
        <v>8</v>
      </c>
      <c r="C137" s="2">
        <f t="shared" ref="C137:C153" si="58">G117</f>
        <v>1.5002056199999989</v>
      </c>
      <c r="D137" s="2">
        <f t="shared" ref="D137:D153" si="59">M117</f>
        <v>2.4217937200000019</v>
      </c>
      <c r="E137" s="2">
        <f t="shared" ref="E137:E153" si="60">(($C$107+C137)^$C$156)/((($C$107+C137)^$C$156)+(($C$108-D137)^$C$156))</f>
        <v>0.62048861496427021</v>
      </c>
      <c r="F137" s="41">
        <v>2331</v>
      </c>
      <c r="G137" s="2">
        <f t="shared" ref="G137:G153" si="61">(F137/$C$157)*(E137-$C$158)</f>
        <v>9.4448533642023733</v>
      </c>
      <c r="H137" s="2">
        <f t="shared" ref="H137:H153" si="62">G137*$C$161</f>
        <v>6.7529739164907312</v>
      </c>
    </row>
    <row r="138" spans="2:15">
      <c r="B138" s="1" t="s">
        <v>27</v>
      </c>
      <c r="C138" s="2">
        <f t="shared" si="58"/>
        <v>3.5824967707479227</v>
      </c>
      <c r="D138" s="2">
        <f t="shared" si="59"/>
        <v>-0.13158982904432193</v>
      </c>
      <c r="E138" s="2">
        <f t="shared" si="60"/>
        <v>0.60438118923878137</v>
      </c>
      <c r="F138" s="41">
        <v>2283</v>
      </c>
      <c r="G138" s="2">
        <f t="shared" si="61"/>
        <v>8.4842553131695393</v>
      </c>
      <c r="H138" s="2">
        <f t="shared" si="62"/>
        <v>6.0661560980751474</v>
      </c>
    </row>
    <row r="139" spans="2:15">
      <c r="B139" s="1" t="s">
        <v>20</v>
      </c>
      <c r="C139" s="2">
        <f t="shared" si="58"/>
        <v>6.5804476399999992</v>
      </c>
      <c r="D139" s="2">
        <f t="shared" si="59"/>
        <v>3.6616273699999988</v>
      </c>
      <c r="E139" s="2">
        <f t="shared" si="60"/>
        <v>0.77951533470720658</v>
      </c>
      <c r="F139" s="41">
        <v>2214</v>
      </c>
      <c r="G139" s="2">
        <f t="shared" si="61"/>
        <v>16.305894813369903</v>
      </c>
      <c r="H139" s="2">
        <f t="shared" si="62"/>
        <v>11.658548641641895</v>
      </c>
    </row>
    <row r="140" spans="2:15">
      <c r="B140" s="1" t="s">
        <v>17</v>
      </c>
      <c r="C140" s="2">
        <f t="shared" si="58"/>
        <v>2.0057126738607955</v>
      </c>
      <c r="D140" s="2">
        <f t="shared" si="59"/>
        <v>1.5640987409220706</v>
      </c>
      <c r="E140" s="2">
        <f t="shared" si="60"/>
        <v>0.60939021042196628</v>
      </c>
      <c r="F140" s="41">
        <v>1733</v>
      </c>
      <c r="G140" s="2">
        <f t="shared" si="61"/>
        <v>6.621150722109741</v>
      </c>
      <c r="H140" s="2">
        <f t="shared" si="62"/>
        <v>4.7340552996861547</v>
      </c>
    </row>
    <row r="141" spans="2:15">
      <c r="B141" s="1" t="s">
        <v>24</v>
      </c>
      <c r="C141" s="2">
        <f t="shared" si="58"/>
        <v>1.2995620984807272</v>
      </c>
      <c r="D141" s="2">
        <f t="shared" si="59"/>
        <v>3.7527720253061245</v>
      </c>
      <c r="E141" s="2">
        <f t="shared" si="60"/>
        <v>0.6542408828903985</v>
      </c>
      <c r="F141" s="41">
        <v>1397</v>
      </c>
      <c r="G141" s="2">
        <f t="shared" si="61"/>
        <v>6.6427606957893071</v>
      </c>
      <c r="H141" s="2">
        <f t="shared" si="62"/>
        <v>4.749506210670889</v>
      </c>
    </row>
    <row r="142" spans="2:15">
      <c r="B142" s="1" t="s">
        <v>10</v>
      </c>
      <c r="C142" s="2">
        <f t="shared" si="58"/>
        <v>-0.82324071308128599</v>
      </c>
      <c r="D142" s="2">
        <f t="shared" si="59"/>
        <v>6.0389550229867677</v>
      </c>
      <c r="E142" s="2">
        <f t="shared" si="60"/>
        <v>0.66189192288396825</v>
      </c>
      <c r="F142" s="41">
        <v>1329</v>
      </c>
      <c r="G142" s="2">
        <f t="shared" si="61"/>
        <v>6.5312576148498716</v>
      </c>
      <c r="H142" s="2">
        <f t="shared" si="62"/>
        <v>4.6697826439666903</v>
      </c>
    </row>
    <row r="143" spans="2:15">
      <c r="B143" s="1" t="s">
        <v>13</v>
      </c>
      <c r="C143" s="2">
        <f t="shared" si="58"/>
        <v>2.1353759831189145E-2</v>
      </c>
      <c r="D143" s="2">
        <f t="shared" si="59"/>
        <v>-0.80501153052154362</v>
      </c>
      <c r="E143" s="2">
        <f t="shared" si="60"/>
        <v>0.47565473072196501</v>
      </c>
      <c r="F143" s="41">
        <v>1259</v>
      </c>
      <c r="G143" s="2">
        <f t="shared" si="61"/>
        <v>1.3024022078948743</v>
      </c>
      <c r="H143" s="2">
        <f t="shared" si="62"/>
        <v>0.93120430773747409</v>
      </c>
    </row>
    <row r="144" spans="2:15">
      <c r="B144" s="1" t="s">
        <v>15</v>
      </c>
      <c r="C144" s="2">
        <f t="shared" si="58"/>
        <v>2.7244904704760953</v>
      </c>
      <c r="D144" s="2">
        <f t="shared" si="59"/>
        <v>5.4465103924022999</v>
      </c>
      <c r="E144" s="2">
        <f t="shared" si="60"/>
        <v>0.73748393264698697</v>
      </c>
      <c r="F144" s="41">
        <v>1249</v>
      </c>
      <c r="G144" s="2">
        <f t="shared" si="61"/>
        <v>8.1050714974184732</v>
      </c>
      <c r="H144" s="2">
        <f t="shared" si="62"/>
        <v>5.7950435335299355</v>
      </c>
    </row>
    <row r="145" spans="2:8">
      <c r="B145" s="1" t="s">
        <v>11</v>
      </c>
      <c r="C145" s="2">
        <f t="shared" si="58"/>
        <v>0.87865741902040817</v>
      </c>
      <c r="D145" s="2">
        <f t="shared" si="59"/>
        <v>-1.6296696192653075</v>
      </c>
      <c r="E145" s="2">
        <f t="shared" si="60"/>
        <v>0.47684041835836316</v>
      </c>
      <c r="F145" s="41">
        <v>1186</v>
      </c>
      <c r="G145" s="2">
        <f t="shared" si="61"/>
        <v>1.2561820036045566</v>
      </c>
      <c r="H145" s="2">
        <f t="shared" si="62"/>
        <v>0.89815733263350994</v>
      </c>
    </row>
    <row r="146" spans="2:8">
      <c r="B146" s="1" t="s">
        <v>19</v>
      </c>
      <c r="C146" s="2">
        <f t="shared" si="58"/>
        <v>-3.4655030000003084E-2</v>
      </c>
      <c r="D146" s="2">
        <f t="shared" si="59"/>
        <v>2.1164930200000009</v>
      </c>
      <c r="E146" s="2">
        <f t="shared" si="60"/>
        <v>0.56522258433155115</v>
      </c>
      <c r="F146" s="41">
        <v>1144</v>
      </c>
      <c r="G146" s="2">
        <f t="shared" si="61"/>
        <v>3.3181382599019691</v>
      </c>
      <c r="H146" s="2">
        <f t="shared" si="62"/>
        <v>2.3724350454561298</v>
      </c>
    </row>
    <row r="147" spans="2:8">
      <c r="B147" s="1" t="s">
        <v>12</v>
      </c>
      <c r="C147" s="2">
        <f t="shared" si="58"/>
        <v>0.39460966867704955</v>
      </c>
      <c r="D147" s="2">
        <f t="shared" si="59"/>
        <v>-3.0686197303432809E-2</v>
      </c>
      <c r="E147" s="2">
        <f t="shared" si="60"/>
        <v>0.51133290970460954</v>
      </c>
      <c r="F147" s="41">
        <v>995</v>
      </c>
      <c r="G147" s="2">
        <f t="shared" si="61"/>
        <v>1.7688801074184688</v>
      </c>
      <c r="H147" s="2">
        <f t="shared" si="62"/>
        <v>1.2647312526916108</v>
      </c>
    </row>
    <row r="148" spans="2:8">
      <c r="B148" s="1" t="s">
        <v>16</v>
      </c>
      <c r="C148" s="2">
        <f t="shared" si="58"/>
        <v>3.7684808399999974</v>
      </c>
      <c r="D148" s="2">
        <f t="shared" si="59"/>
        <v>-1.7105375699999976</v>
      </c>
      <c r="E148" s="2">
        <f t="shared" si="60"/>
        <v>0.56236084890154658</v>
      </c>
      <c r="F148" s="41">
        <v>942</v>
      </c>
      <c r="G148" s="2">
        <f t="shared" si="61"/>
        <v>2.6760816596928518</v>
      </c>
      <c r="H148" s="2">
        <f t="shared" si="62"/>
        <v>1.9133711185818085</v>
      </c>
    </row>
    <row r="149" spans="2:8">
      <c r="B149" s="1" t="s">
        <v>29</v>
      </c>
      <c r="C149" s="2">
        <f t="shared" si="58"/>
        <v>-1.4473666879289968</v>
      </c>
      <c r="D149" s="2">
        <f t="shared" si="59"/>
        <v>-2.7170141650000006</v>
      </c>
      <c r="E149" s="2">
        <f t="shared" si="60"/>
        <v>0.37356963821112943</v>
      </c>
      <c r="F149" s="41">
        <v>607</v>
      </c>
      <c r="G149" s="2">
        <f t="shared" si="61"/>
        <v>-0.66302561678842564</v>
      </c>
      <c r="H149" s="2">
        <f t="shared" si="62"/>
        <v>-0.47405656006344332</v>
      </c>
    </row>
    <row r="150" spans="2:8">
      <c r="B150" s="1" t="s">
        <v>26</v>
      </c>
      <c r="C150" s="2">
        <f t="shared" si="58"/>
        <v>-1.5221575000000012</v>
      </c>
      <c r="D150" s="2">
        <f t="shared" si="59"/>
        <v>8.9990043700000015</v>
      </c>
      <c r="E150" s="2">
        <f t="shared" si="60"/>
        <v>0.72704214429061365</v>
      </c>
      <c r="F150" s="41">
        <v>604</v>
      </c>
      <c r="G150" s="2">
        <f t="shared" si="61"/>
        <v>3.7881136489902221</v>
      </c>
      <c r="H150" s="2">
        <f t="shared" si="62"/>
        <v>2.7084626598111123</v>
      </c>
    </row>
    <row r="151" spans="2:8">
      <c r="B151" s="1" t="s">
        <v>22</v>
      </c>
      <c r="C151" s="2">
        <f t="shared" si="58"/>
        <v>-5.7146777892387552</v>
      </c>
      <c r="D151" s="2">
        <f t="shared" si="59"/>
        <v>-3.1044200105536333</v>
      </c>
      <c r="E151" s="2">
        <f t="shared" si="60"/>
        <v>0.2470550328044375</v>
      </c>
      <c r="F151" s="41">
        <v>372</v>
      </c>
      <c r="G151" s="2">
        <f t="shared" si="61"/>
        <v>-1.3868234957656094</v>
      </c>
      <c r="H151" s="2">
        <f t="shared" si="62"/>
        <v>-0.99156466834914725</v>
      </c>
    </row>
    <row r="152" spans="2:8">
      <c r="B152" s="1" t="s">
        <v>30</v>
      </c>
      <c r="C152" s="2">
        <f t="shared" si="58"/>
        <v>3.4810923700000003</v>
      </c>
      <c r="D152" s="2">
        <f t="shared" si="59"/>
        <v>-12.18173112</v>
      </c>
      <c r="E152" s="2">
        <f t="shared" si="60"/>
        <v>0.26590550778770039</v>
      </c>
      <c r="F152" s="41">
        <v>74</v>
      </c>
      <c r="G152" s="2">
        <f t="shared" si="61"/>
        <v>-0.24681234216062856</v>
      </c>
      <c r="H152" s="2">
        <f t="shared" si="62"/>
        <v>-0.17646830973531646</v>
      </c>
    </row>
    <row r="153" spans="2:8">
      <c r="B153" s="15" t="s">
        <v>23</v>
      </c>
      <c r="C153" s="16">
        <f t="shared" si="58"/>
        <v>0.25924800999999925</v>
      </c>
      <c r="D153" s="16">
        <f t="shared" si="59"/>
        <v>7.5293709599999996</v>
      </c>
      <c r="E153" s="16">
        <f t="shared" si="60"/>
        <v>0.73208582582620763</v>
      </c>
      <c r="F153" s="42">
        <v>28</v>
      </c>
      <c r="G153" s="16">
        <f t="shared" si="61"/>
        <v>0.17855006506528781</v>
      </c>
      <c r="H153" s="16">
        <f t="shared" si="62"/>
        <v>0.12766147717481666</v>
      </c>
    </row>
    <row r="154" spans="2:8">
      <c r="F154" s="19"/>
    </row>
    <row r="156" spans="2:8">
      <c r="B156" s="30" t="s">
        <v>84</v>
      </c>
      <c r="C156" s="23">
        <v>13.98</v>
      </c>
    </row>
    <row r="157" spans="2:8">
      <c r="B157" s="31" t="s">
        <v>81</v>
      </c>
      <c r="C157" s="24">
        <v>48</v>
      </c>
    </row>
    <row r="158" spans="2:8">
      <c r="B158" s="31" t="s">
        <v>85</v>
      </c>
      <c r="C158" s="25">
        <v>0.42599999999999999</v>
      </c>
    </row>
    <row r="159" spans="2:8">
      <c r="B159" s="31" t="s">
        <v>86</v>
      </c>
      <c r="C159" s="24">
        <v>53</v>
      </c>
    </row>
    <row r="160" spans="2:8">
      <c r="B160" s="31" t="s">
        <v>87</v>
      </c>
      <c r="C160" s="25">
        <f>SUM(G137:G153)</f>
        <v>74.126930518762777</v>
      </c>
    </row>
    <row r="161" spans="2:5">
      <c r="B161" s="29" t="s">
        <v>88</v>
      </c>
      <c r="C161" s="26">
        <f>C159/C160</f>
        <v>0.71498981043852616</v>
      </c>
    </row>
    <row r="164" spans="2:5" ht="17.25">
      <c r="B164" s="14" t="s">
        <v>89</v>
      </c>
    </row>
    <row r="165" spans="2:5">
      <c r="B165" s="12" t="s">
        <v>90</v>
      </c>
      <c r="C165" s="12" t="s">
        <v>91</v>
      </c>
      <c r="D165" s="12" t="s">
        <v>92</v>
      </c>
      <c r="E165" s="12" t="s">
        <v>93</v>
      </c>
    </row>
    <row r="166" spans="2:5">
      <c r="B166" s="5">
        <v>2011</v>
      </c>
      <c r="C166" s="53">
        <v>224.9</v>
      </c>
      <c r="D166" s="34">
        <v>3.2000000000000001E-2</v>
      </c>
      <c r="E166" s="1">
        <v>1</v>
      </c>
    </row>
    <row r="167" spans="2:5">
      <c r="B167" s="5">
        <v>2012</v>
      </c>
      <c r="C167" s="53">
        <v>229.6</v>
      </c>
      <c r="D167" s="34">
        <v>2.1000000000000001E-2</v>
      </c>
      <c r="E167" s="2">
        <f>E166*(1+D167)</f>
        <v>1.0209999999999999</v>
      </c>
    </row>
    <row r="168" spans="2:5">
      <c r="B168" s="5">
        <v>2013</v>
      </c>
      <c r="C168" s="53">
        <v>233</v>
      </c>
      <c r="D168" s="34">
        <v>1.4999999999999999E-2</v>
      </c>
      <c r="E168" s="2">
        <f t="shared" ref="E168:E177" si="63">E167*(1+D168)</f>
        <v>1.0363149999999999</v>
      </c>
    </row>
    <row r="169" spans="2:5">
      <c r="B169" s="5">
        <v>2014</v>
      </c>
      <c r="C169" s="53">
        <v>236.7</v>
      </c>
      <c r="D169" s="34">
        <v>1.6E-2</v>
      </c>
      <c r="E169" s="2">
        <f t="shared" si="63"/>
        <v>1.0528960399999998</v>
      </c>
    </row>
    <row r="170" spans="2:5">
      <c r="B170" s="5">
        <v>2015</v>
      </c>
      <c r="C170" s="53">
        <v>237</v>
      </c>
      <c r="D170" s="34">
        <v>1E-3</v>
      </c>
      <c r="E170" s="2">
        <f t="shared" si="63"/>
        <v>1.0539489360399996</v>
      </c>
    </row>
    <row r="171" spans="2:5">
      <c r="B171" s="5">
        <v>2016</v>
      </c>
      <c r="C171" s="53">
        <v>240</v>
      </c>
      <c r="D171" s="34">
        <v>1.2999999999999999E-2</v>
      </c>
      <c r="E171" s="2">
        <f t="shared" si="63"/>
        <v>1.0676502722085195</v>
      </c>
    </row>
    <row r="172" spans="2:5">
      <c r="B172" s="5">
        <v>2017</v>
      </c>
      <c r="C172" s="53">
        <v>245.1</v>
      </c>
      <c r="D172" s="34">
        <v>2.1000000000000001E-2</v>
      </c>
      <c r="E172" s="2">
        <f t="shared" si="63"/>
        <v>1.0900709279248983</v>
      </c>
    </row>
    <row r="173" spans="2:5">
      <c r="B173" s="5">
        <v>2018</v>
      </c>
      <c r="C173" s="53">
        <v>251.1</v>
      </c>
      <c r="D173" s="34">
        <v>2.4E-2</v>
      </c>
      <c r="E173" s="2">
        <f t="shared" si="63"/>
        <v>1.116232630195096</v>
      </c>
    </row>
    <row r="174" spans="2:5">
      <c r="B174" s="5">
        <v>2019</v>
      </c>
      <c r="C174" s="53">
        <v>255.7</v>
      </c>
      <c r="D174" s="34">
        <v>1.7999999999999999E-2</v>
      </c>
      <c r="E174" s="2">
        <f t="shared" si="63"/>
        <v>1.1363248175386078</v>
      </c>
    </row>
    <row r="175" spans="2:5">
      <c r="B175" s="5">
        <v>2020</v>
      </c>
      <c r="C175" s="53">
        <v>258.8</v>
      </c>
      <c r="D175" s="34">
        <v>1.2E-2</v>
      </c>
      <c r="E175" s="2">
        <f t="shared" si="63"/>
        <v>1.1499607153490712</v>
      </c>
    </row>
    <row r="176" spans="2:5">
      <c r="B176" s="5">
        <v>2021</v>
      </c>
      <c r="C176" s="53">
        <v>271</v>
      </c>
      <c r="D176" s="34">
        <v>4.7E-2</v>
      </c>
      <c r="E176" s="2">
        <f t="shared" si="63"/>
        <v>1.2040088689704775</v>
      </c>
    </row>
    <row r="177" spans="2:8">
      <c r="B177" s="20">
        <v>2022</v>
      </c>
      <c r="C177" s="54">
        <v>292.7</v>
      </c>
      <c r="D177" s="27">
        <v>0.08</v>
      </c>
      <c r="E177" s="16">
        <f t="shared" si="63"/>
        <v>1.3003295784881159</v>
      </c>
    </row>
    <row r="180" spans="2:8" ht="17.25">
      <c r="B180" s="14" t="s">
        <v>94</v>
      </c>
    </row>
    <row r="181" spans="2:8">
      <c r="B181" s="12" t="s">
        <v>1</v>
      </c>
      <c r="C181" s="12" t="s">
        <v>95</v>
      </c>
      <c r="D181" s="12" t="s">
        <v>96</v>
      </c>
      <c r="E181" s="12" t="s">
        <v>2</v>
      </c>
      <c r="F181" s="12" t="s">
        <v>97</v>
      </c>
    </row>
    <row r="182" spans="2:8">
      <c r="B182" s="1" t="s">
        <v>8</v>
      </c>
      <c r="C182" s="6">
        <f>($C$202+G137*($C$203+(1/(1+$C$207))*$C$204))*$C$206</f>
        <v>11368554.377007183</v>
      </c>
      <c r="D182" s="6">
        <f>($C$202+H137*($C$203+(1/(1+$C$207))*$C$204))*$C$206</f>
        <v>8471307.7968117855</v>
      </c>
      <c r="E182" s="74">
        <v>31579390</v>
      </c>
      <c r="F182" s="39">
        <f t="shared" ref="F182:F198" si="64">E182-D182</f>
        <v>23108082.203188214</v>
      </c>
    </row>
    <row r="183" spans="2:8">
      <c r="B183" s="1" t="s">
        <v>27</v>
      </c>
      <c r="C183" s="6">
        <f t="shared" ref="C183:C198" si="65">($C$202+G138*($C$203+(1/(1+$C$207))*$C$204))*$C$206</f>
        <v>10334670.998365119</v>
      </c>
      <c r="D183" s="6">
        <f t="shared" ref="D183:D198" si="66">($C$202+H138*($C$203+(1/(1+$C$207))*$C$204))*$C$206</f>
        <v>7732091.7159009539</v>
      </c>
      <c r="E183" s="74">
        <v>2161440</v>
      </c>
      <c r="F183" s="39">
        <f t="shared" si="64"/>
        <v>-5570651.7159009539</v>
      </c>
    </row>
    <row r="184" spans="2:8">
      <c r="B184" s="1" t="s">
        <v>20</v>
      </c>
      <c r="C184" s="6">
        <f t="shared" si="65"/>
        <v>18753033.979939554</v>
      </c>
      <c r="D184" s="6">
        <f t="shared" si="66"/>
        <v>13751135.468299568</v>
      </c>
      <c r="E184" s="74">
        <v>45780966</v>
      </c>
      <c r="F184" s="39">
        <f t="shared" si="64"/>
        <v>32029830.531700432</v>
      </c>
    </row>
    <row r="185" spans="2:8">
      <c r="B185" s="1" t="s">
        <v>17</v>
      </c>
      <c r="C185" s="6">
        <f t="shared" si="65"/>
        <v>8329427.6322169593</v>
      </c>
      <c r="D185" s="6">
        <f t="shared" si="66"/>
        <v>6298363.141655569</v>
      </c>
      <c r="E185" s="74">
        <v>5178572</v>
      </c>
      <c r="F185" s="39">
        <f t="shared" si="64"/>
        <v>-1119791.141655569</v>
      </c>
    </row>
    <row r="186" spans="2:8">
      <c r="B186" s="1" t="s">
        <v>24</v>
      </c>
      <c r="C186" s="6">
        <f t="shared" si="65"/>
        <v>8352686.2600854775</v>
      </c>
      <c r="D186" s="6">
        <f t="shared" si="66"/>
        <v>6314992.8235863419</v>
      </c>
      <c r="E186" s="74">
        <v>2389641</v>
      </c>
      <c r="F186" s="39">
        <f t="shared" si="64"/>
        <v>-3925351.8235863419</v>
      </c>
    </row>
    <row r="187" spans="2:8">
      <c r="B187" s="1" t="s">
        <v>10</v>
      </c>
      <c r="C187" s="6">
        <f t="shared" si="65"/>
        <v>8232676.4579349179</v>
      </c>
      <c r="D187" s="6">
        <f t="shared" si="66"/>
        <v>6229187.0378959477</v>
      </c>
      <c r="E187" s="74">
        <v>24026712</v>
      </c>
      <c r="F187" s="39">
        <f t="shared" si="64"/>
        <v>17797524.962104052</v>
      </c>
      <c r="H187" s="8"/>
    </row>
    <row r="188" spans="2:8">
      <c r="B188" s="1" t="s">
        <v>13</v>
      </c>
      <c r="C188" s="6">
        <f t="shared" si="65"/>
        <v>2604904.5831524408</v>
      </c>
      <c r="D188" s="6">
        <f t="shared" si="66"/>
        <v>2205387.491953956</v>
      </c>
      <c r="E188" s="74">
        <v>1910860</v>
      </c>
      <c r="F188" s="39">
        <f t="shared" si="64"/>
        <v>-294527.49195395596</v>
      </c>
      <c r="H188" s="7"/>
    </row>
    <row r="189" spans="2:8">
      <c r="B189" s="1" t="s">
        <v>15</v>
      </c>
      <c r="C189" s="6">
        <f t="shared" si="65"/>
        <v>9926558.7352457121</v>
      </c>
      <c r="D189" s="6">
        <f t="shared" si="66"/>
        <v>7440295.6062555714</v>
      </c>
      <c r="E189" s="74">
        <v>1939350</v>
      </c>
      <c r="F189" s="39">
        <f t="shared" si="64"/>
        <v>-5500945.6062555714</v>
      </c>
      <c r="H189" s="7"/>
    </row>
    <row r="190" spans="2:8">
      <c r="B190" s="1" t="s">
        <v>11</v>
      </c>
      <c r="C190" s="6">
        <f t="shared" si="65"/>
        <v>2555158.1768154511</v>
      </c>
      <c r="D190" s="6">
        <f t="shared" si="66"/>
        <v>2169819.3183170734</v>
      </c>
      <c r="E190" s="74">
        <v>5466360</v>
      </c>
      <c r="F190" s="39">
        <f t="shared" si="64"/>
        <v>3296540.6816829266</v>
      </c>
      <c r="H190" s="7"/>
    </row>
    <row r="191" spans="2:8">
      <c r="B191" s="1" t="s">
        <v>19</v>
      </c>
      <c r="C191" s="6">
        <f t="shared" si="65"/>
        <v>4774423.8713281276</v>
      </c>
      <c r="D191" s="6">
        <f t="shared" si="66"/>
        <v>3756571.6765494165</v>
      </c>
      <c r="E191" s="74">
        <v>2089448</v>
      </c>
      <c r="F191" s="39">
        <f t="shared" si="64"/>
        <v>-1667123.6765494165</v>
      </c>
      <c r="H191" s="7"/>
    </row>
    <row r="192" spans="2:8">
      <c r="B192" s="1" t="s">
        <v>12</v>
      </c>
      <c r="C192" s="6">
        <f t="shared" si="65"/>
        <v>3106970.7140411669</v>
      </c>
      <c r="D192" s="6">
        <f t="shared" si="66"/>
        <v>2564359.6597056906</v>
      </c>
      <c r="E192" s="74">
        <v>2089448</v>
      </c>
      <c r="F192" s="39">
        <f t="shared" si="64"/>
        <v>-474911.65970569057</v>
      </c>
      <c r="H192" s="7"/>
    </row>
    <row r="193" spans="2:8">
      <c r="B193" s="1" t="s">
        <v>16</v>
      </c>
      <c r="C193" s="6">
        <f t="shared" si="65"/>
        <v>4083383.9026441309</v>
      </c>
      <c r="D193" s="6">
        <f t="shared" si="66"/>
        <v>3262485.1403346006</v>
      </c>
      <c r="E193" s="74">
        <v>37980720</v>
      </c>
      <c r="F193" s="39">
        <f t="shared" si="64"/>
        <v>34718234.859665401</v>
      </c>
      <c r="H193" s="7"/>
    </row>
    <row r="194" spans="2:8">
      <c r="B194" s="1" t="s">
        <v>29</v>
      </c>
      <c r="C194" s="6">
        <f t="shared" si="65"/>
        <v>489531.6051666339</v>
      </c>
      <c r="D194" s="6">
        <f t="shared" si="66"/>
        <v>692917.36741710326</v>
      </c>
      <c r="E194" s="74">
        <v>3562080</v>
      </c>
      <c r="F194" s="39">
        <f t="shared" si="64"/>
        <v>2869162.6325828969</v>
      </c>
      <c r="H194" s="7"/>
    </row>
    <row r="195" spans="2:8">
      <c r="B195" s="1" t="s">
        <v>26</v>
      </c>
      <c r="C195" s="6">
        <f t="shared" si="65"/>
        <v>5280254.3200019943</v>
      </c>
      <c r="D195" s="6">
        <f t="shared" si="66"/>
        <v>4118235.2931607789</v>
      </c>
      <c r="E195" s="74">
        <v>2641691</v>
      </c>
      <c r="F195" s="39">
        <f t="shared" si="64"/>
        <v>-1476544.2931607789</v>
      </c>
    </row>
    <row r="196" spans="2:8">
      <c r="B196" s="1" t="s">
        <v>22</v>
      </c>
      <c r="C196" s="6">
        <f t="shared" si="65"/>
        <v>-289485.79526041611</v>
      </c>
      <c r="D196" s="6">
        <f t="shared" si="66"/>
        <v>135927.86395745337</v>
      </c>
      <c r="E196" s="74">
        <v>0</v>
      </c>
      <c r="F196" s="39">
        <f t="shared" si="64"/>
        <v>-135927.86395745337</v>
      </c>
    </row>
    <row r="197" spans="2:8">
      <c r="B197" s="1" t="s">
        <v>30</v>
      </c>
      <c r="C197" s="6">
        <f t="shared" si="65"/>
        <v>937498.35478182195</v>
      </c>
      <c r="D197" s="6">
        <f t="shared" si="66"/>
        <v>1013209.0288072292</v>
      </c>
      <c r="E197" s="74">
        <v>95930</v>
      </c>
      <c r="F197" s="39">
        <f t="shared" si="64"/>
        <v>-917279.02880722925</v>
      </c>
    </row>
    <row r="198" spans="2:8">
      <c r="B198" s="15" t="s">
        <v>23</v>
      </c>
      <c r="C198" s="71">
        <f t="shared" si="65"/>
        <v>1395312.2367246442</v>
      </c>
      <c r="D198" s="71">
        <f t="shared" si="66"/>
        <v>1340541.2894736535</v>
      </c>
      <c r="E198" s="75">
        <v>0</v>
      </c>
      <c r="F198" s="40">
        <f t="shared" si="64"/>
        <v>-1340541.2894736535</v>
      </c>
    </row>
    <row r="200" spans="2:8">
      <c r="F200" s="8"/>
      <c r="G200" s="8"/>
    </row>
    <row r="201" spans="2:8">
      <c r="B201" s="12" t="s">
        <v>98</v>
      </c>
      <c r="C201" s="68" t="s">
        <v>99</v>
      </c>
      <c r="D201" s="51"/>
      <c r="F201" s="9"/>
      <c r="G201" s="10"/>
    </row>
    <row r="202" spans="2:8">
      <c r="B202" s="34" t="s">
        <v>100</v>
      </c>
      <c r="C202" s="69">
        <v>925258</v>
      </c>
      <c r="D202" s="35"/>
      <c r="F202" s="9"/>
      <c r="G202" s="10"/>
    </row>
    <row r="203" spans="2:8">
      <c r="B203" s="34" t="s">
        <v>101</v>
      </c>
      <c r="C203" s="69">
        <v>486524.3</v>
      </c>
      <c r="D203" s="35"/>
      <c r="F203" s="9"/>
      <c r="G203" s="10"/>
    </row>
    <row r="204" spans="2:8">
      <c r="B204" s="27" t="s">
        <v>102</v>
      </c>
      <c r="C204" s="70">
        <v>358241.4</v>
      </c>
      <c r="D204" s="35"/>
      <c r="F204" s="9"/>
      <c r="G204" s="10"/>
    </row>
    <row r="205" spans="2:8">
      <c r="F205" s="9"/>
      <c r="G205" s="10"/>
    </row>
    <row r="206" spans="2:8">
      <c r="B206" s="30" t="s">
        <v>103</v>
      </c>
      <c r="C206" s="36">
        <f>E177</f>
        <v>1.3003295784881159</v>
      </c>
      <c r="F206" s="9"/>
      <c r="G206" s="10"/>
    </row>
    <row r="207" spans="2:8">
      <c r="B207" s="29" t="s">
        <v>104</v>
      </c>
      <c r="C207" s="28">
        <v>0.05</v>
      </c>
      <c r="F207" s="9"/>
      <c r="G207" s="10"/>
    </row>
    <row r="211" spans="2:8">
      <c r="B211" s="11"/>
    </row>
    <row r="212" spans="2:8">
      <c r="B212" s="11"/>
    </row>
    <row r="215" spans="2:8">
      <c r="F215" s="9"/>
      <c r="G215" s="10"/>
      <c r="H215" s="7"/>
    </row>
    <row r="216" spans="2:8">
      <c r="F216" s="9"/>
      <c r="G216" s="10"/>
      <c r="H216" s="7"/>
    </row>
    <row r="217" spans="2:8">
      <c r="F217" s="9"/>
      <c r="G217" s="10"/>
      <c r="H217" s="7"/>
    </row>
    <row r="218" spans="2:8">
      <c r="F218" s="9"/>
      <c r="G218" s="10"/>
      <c r="H218" s="7"/>
    </row>
    <row r="219" spans="2:8">
      <c r="F219" s="9"/>
      <c r="G219" s="10"/>
      <c r="H219" s="7"/>
    </row>
    <row r="220" spans="2:8">
      <c r="F220" s="9"/>
      <c r="G220" s="10"/>
      <c r="H220" s="7"/>
    </row>
    <row r="221" spans="2:8">
      <c r="F221" s="9"/>
      <c r="G221" s="10"/>
      <c r="H221" s="7"/>
    </row>
    <row r="222" spans="2:8">
      <c r="F222" s="9"/>
      <c r="G222" s="10"/>
      <c r="H222" s="7"/>
    </row>
    <row r="223" spans="2:8">
      <c r="F223" s="9"/>
      <c r="G223" s="10"/>
      <c r="H223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4901E-0848-48DE-959C-9ECE98368884}">
  <dimension ref="B2:P223"/>
  <sheetViews>
    <sheetView topLeftCell="A78" zoomScale="87" zoomScaleNormal="71" workbookViewId="0">
      <selection activeCell="D182" sqref="D182"/>
    </sheetView>
  </sheetViews>
  <sheetFormatPr defaultColWidth="9.140625" defaultRowHeight="14.25"/>
  <cols>
    <col min="1" max="1" width="9" style="1" bestFit="1" customWidth="1"/>
    <col min="2" max="2" width="28.7109375" style="1" bestFit="1" customWidth="1"/>
    <col min="3" max="3" width="14.7109375" style="1" bestFit="1" customWidth="1"/>
    <col min="4" max="4" width="26.7109375" style="1" customWidth="1"/>
    <col min="5" max="5" width="15.140625" style="1" customWidth="1"/>
    <col min="6" max="6" width="26.7109375" style="1" bestFit="1" customWidth="1"/>
    <col min="7" max="7" width="11.85546875" style="1" customWidth="1"/>
    <col min="8" max="8" width="14.140625" style="1" bestFit="1" customWidth="1"/>
    <col min="9" max="9" width="12.28515625" style="1" bestFit="1" customWidth="1"/>
    <col min="10" max="10" width="9.28515625" style="1" bestFit="1" customWidth="1"/>
    <col min="11" max="11" width="14.140625" style="1" bestFit="1" customWidth="1"/>
    <col min="12" max="12" width="9.140625" style="1"/>
    <col min="13" max="13" width="9.7109375" style="1" bestFit="1" customWidth="1"/>
    <col min="14" max="14" width="9.140625" style="1"/>
    <col min="15" max="15" width="12.28515625" style="1" customWidth="1"/>
    <col min="16" max="16" width="14.140625" style="1" bestFit="1" customWidth="1"/>
    <col min="17" max="16384" width="9.140625" style="1"/>
  </cols>
  <sheetData>
    <row r="2" spans="2:14" ht="17.25">
      <c r="B2" s="14" t="s">
        <v>31</v>
      </c>
    </row>
    <row r="3" spans="2:14">
      <c r="B3" s="12" t="s">
        <v>1</v>
      </c>
      <c r="C3" s="12" t="s">
        <v>14</v>
      </c>
      <c r="D3" s="12" t="s">
        <v>32</v>
      </c>
      <c r="E3" s="12" t="s">
        <v>33</v>
      </c>
      <c r="F3" s="12" t="s">
        <v>34</v>
      </c>
      <c r="G3" s="12" t="s">
        <v>35</v>
      </c>
      <c r="H3" s="12" t="s">
        <v>36</v>
      </c>
      <c r="I3" s="12" t="s">
        <v>37</v>
      </c>
      <c r="J3" s="12" t="s">
        <v>38</v>
      </c>
      <c r="K3" s="12" t="s">
        <v>39</v>
      </c>
      <c r="L3" s="12" t="s">
        <v>40</v>
      </c>
      <c r="M3" s="12" t="s">
        <v>18</v>
      </c>
      <c r="N3" s="12" t="s">
        <v>41</v>
      </c>
    </row>
    <row r="4" spans="2:14">
      <c r="B4" s="1" t="s">
        <v>8</v>
      </c>
      <c r="C4" s="17">
        <v>22</v>
      </c>
      <c r="D4" s="17">
        <v>22</v>
      </c>
      <c r="E4" s="17">
        <v>4.9000000000000004</v>
      </c>
      <c r="F4" s="17">
        <v>9.4</v>
      </c>
      <c r="G4" s="17">
        <v>3.1</v>
      </c>
      <c r="H4" s="17">
        <v>7.7</v>
      </c>
      <c r="I4" s="17">
        <v>1.9</v>
      </c>
      <c r="J4" s="17">
        <v>1</v>
      </c>
      <c r="K4" s="17">
        <v>1.1000000000000001</v>
      </c>
      <c r="L4" s="17">
        <v>1.4</v>
      </c>
      <c r="M4" s="17">
        <v>2.5</v>
      </c>
      <c r="N4" s="17">
        <v>17</v>
      </c>
    </row>
    <row r="5" spans="2:14">
      <c r="B5" s="1" t="s">
        <v>27</v>
      </c>
      <c r="C5" s="17">
        <v>22</v>
      </c>
      <c r="D5" s="17">
        <v>5</v>
      </c>
      <c r="E5" s="17">
        <v>7.6</v>
      </c>
      <c r="F5" s="17">
        <v>7.5</v>
      </c>
      <c r="G5" s="17">
        <v>4.2</v>
      </c>
      <c r="H5" s="17">
        <v>3.7</v>
      </c>
      <c r="I5" s="17">
        <v>4.9000000000000004</v>
      </c>
      <c r="J5" s="17">
        <v>1</v>
      </c>
      <c r="K5" s="17">
        <v>0.5</v>
      </c>
      <c r="L5" s="17">
        <v>3.1</v>
      </c>
      <c r="M5" s="17">
        <v>3.7</v>
      </c>
      <c r="N5" s="17">
        <v>22.2</v>
      </c>
    </row>
    <row r="6" spans="2:14">
      <c r="B6" s="1" t="s">
        <v>20</v>
      </c>
      <c r="C6" s="17">
        <v>22</v>
      </c>
      <c r="D6" s="17">
        <v>18</v>
      </c>
      <c r="E6" s="17">
        <v>10.8</v>
      </c>
      <c r="F6" s="17">
        <v>9.9</v>
      </c>
      <c r="G6" s="17">
        <v>6.1</v>
      </c>
      <c r="H6" s="17">
        <v>5.4</v>
      </c>
      <c r="I6" s="17">
        <v>6.1</v>
      </c>
      <c r="J6" s="17">
        <v>1.4</v>
      </c>
      <c r="K6" s="17">
        <v>0.4</v>
      </c>
      <c r="L6" s="17">
        <v>2.7</v>
      </c>
      <c r="M6" s="17">
        <v>2.8</v>
      </c>
      <c r="N6" s="17">
        <v>28.4</v>
      </c>
    </row>
    <row r="7" spans="2:14">
      <c r="B7" s="1" t="s">
        <v>17</v>
      </c>
      <c r="C7" s="17">
        <v>22</v>
      </c>
      <c r="D7" s="17">
        <v>13</v>
      </c>
      <c r="E7" s="17">
        <v>0</v>
      </c>
      <c r="F7" s="17">
        <v>7.1</v>
      </c>
      <c r="G7" s="17">
        <v>1.4</v>
      </c>
      <c r="H7" s="17">
        <v>13.5</v>
      </c>
      <c r="I7" s="17">
        <v>3.9</v>
      </c>
      <c r="J7" s="17">
        <v>0.7</v>
      </c>
      <c r="K7" s="17">
        <v>0.8</v>
      </c>
      <c r="L7" s="17">
        <v>1.5</v>
      </c>
      <c r="M7" s="17">
        <v>4</v>
      </c>
      <c r="N7" s="17">
        <v>10.199999999999999</v>
      </c>
    </row>
    <row r="8" spans="2:14">
      <c r="B8" s="1" t="s">
        <v>24</v>
      </c>
      <c r="C8" s="17">
        <v>19</v>
      </c>
      <c r="D8" s="17">
        <v>3</v>
      </c>
      <c r="E8" s="17">
        <v>4.5999999999999996</v>
      </c>
      <c r="F8" s="17">
        <v>2.9</v>
      </c>
      <c r="G8" s="17">
        <v>0.9</v>
      </c>
      <c r="H8" s="17">
        <v>6.3</v>
      </c>
      <c r="I8" s="17">
        <v>3.3</v>
      </c>
      <c r="J8" s="17">
        <v>1.6</v>
      </c>
      <c r="K8" s="17">
        <v>0.6</v>
      </c>
      <c r="L8" s="17">
        <v>1.2</v>
      </c>
      <c r="M8" s="17">
        <v>3.3</v>
      </c>
      <c r="N8" s="17">
        <v>9.9</v>
      </c>
    </row>
    <row r="9" spans="2:14">
      <c r="B9" s="1" t="s">
        <v>10</v>
      </c>
      <c r="C9" s="17">
        <v>22</v>
      </c>
      <c r="D9" s="17">
        <v>22</v>
      </c>
      <c r="E9" s="17">
        <v>2</v>
      </c>
      <c r="F9" s="17">
        <v>5.4</v>
      </c>
      <c r="G9" s="17">
        <v>2.4</v>
      </c>
      <c r="H9" s="17">
        <v>8.1</v>
      </c>
      <c r="I9" s="17">
        <v>7.1</v>
      </c>
      <c r="J9" s="17">
        <v>1.3</v>
      </c>
      <c r="K9" s="17">
        <v>1.1000000000000001</v>
      </c>
      <c r="L9" s="17">
        <v>3</v>
      </c>
      <c r="M9" s="17">
        <v>4.5</v>
      </c>
      <c r="N9" s="17">
        <v>9</v>
      </c>
    </row>
    <row r="10" spans="2:14">
      <c r="B10" s="1" t="s">
        <v>13</v>
      </c>
      <c r="C10" s="17">
        <v>16</v>
      </c>
      <c r="D10" s="17">
        <v>0</v>
      </c>
      <c r="E10" s="17">
        <v>4.5999999999999996</v>
      </c>
      <c r="F10" s="17">
        <v>5.2</v>
      </c>
      <c r="G10" s="17">
        <v>0.9</v>
      </c>
      <c r="H10" s="17">
        <v>7.5</v>
      </c>
      <c r="I10" s="17">
        <v>2</v>
      </c>
      <c r="J10" s="17">
        <v>0.3</v>
      </c>
      <c r="K10" s="17">
        <v>0</v>
      </c>
      <c r="L10" s="17">
        <v>1.7</v>
      </c>
      <c r="M10" s="17">
        <v>2.2999999999999998</v>
      </c>
      <c r="N10" s="17">
        <v>9.3000000000000007</v>
      </c>
    </row>
    <row r="11" spans="2:14">
      <c r="B11" s="1" t="s">
        <v>15</v>
      </c>
      <c r="C11" s="17">
        <v>12</v>
      </c>
      <c r="D11" s="17">
        <v>2</v>
      </c>
      <c r="E11" s="17">
        <v>2.7</v>
      </c>
      <c r="F11" s="17">
        <v>5.0999999999999996</v>
      </c>
      <c r="G11" s="17">
        <v>3.2</v>
      </c>
      <c r="H11" s="17">
        <v>6.6</v>
      </c>
      <c r="I11" s="17">
        <v>2.8</v>
      </c>
      <c r="J11" s="17">
        <v>2.5</v>
      </c>
      <c r="K11" s="17">
        <v>1.2</v>
      </c>
      <c r="L11" s="17">
        <v>1.1000000000000001</v>
      </c>
      <c r="M11" s="17">
        <v>4.0999999999999996</v>
      </c>
      <c r="N11" s="17">
        <v>13.8</v>
      </c>
    </row>
    <row r="12" spans="2:14">
      <c r="B12" s="1" t="s">
        <v>11</v>
      </c>
      <c r="C12" s="17">
        <v>16</v>
      </c>
      <c r="D12" s="17">
        <v>3</v>
      </c>
      <c r="E12" s="17">
        <v>3.4</v>
      </c>
      <c r="F12" s="17">
        <v>12.3</v>
      </c>
      <c r="G12" s="17">
        <v>6.8</v>
      </c>
      <c r="H12" s="17">
        <v>7</v>
      </c>
      <c r="I12" s="17">
        <v>2.1</v>
      </c>
      <c r="J12" s="17">
        <v>0.8</v>
      </c>
      <c r="K12" s="17">
        <v>0.5</v>
      </c>
      <c r="L12" s="17">
        <v>2.9</v>
      </c>
      <c r="M12" s="17">
        <v>2.9</v>
      </c>
      <c r="N12" s="17">
        <v>21.7</v>
      </c>
    </row>
    <row r="13" spans="2:14">
      <c r="B13" s="1" t="s">
        <v>19</v>
      </c>
      <c r="C13" s="17">
        <v>15</v>
      </c>
      <c r="D13" s="17">
        <v>0</v>
      </c>
      <c r="E13" s="17">
        <v>1.9</v>
      </c>
      <c r="F13" s="17">
        <v>6.2</v>
      </c>
      <c r="G13" s="17">
        <v>1.7</v>
      </c>
      <c r="H13" s="17">
        <v>7.4</v>
      </c>
      <c r="I13" s="17">
        <v>4.0999999999999996</v>
      </c>
      <c r="J13" s="17">
        <v>1</v>
      </c>
      <c r="K13" s="17">
        <v>0.5</v>
      </c>
      <c r="L13" s="17">
        <v>1.7</v>
      </c>
      <c r="M13" s="17">
        <v>5</v>
      </c>
      <c r="N13" s="17">
        <v>10.3</v>
      </c>
    </row>
    <row r="14" spans="2:14">
      <c r="B14" s="1" t="s">
        <v>12</v>
      </c>
      <c r="C14" s="17">
        <v>14</v>
      </c>
      <c r="D14" s="17">
        <v>0</v>
      </c>
      <c r="E14" s="17">
        <v>3.7</v>
      </c>
      <c r="F14" s="17">
        <v>3.7</v>
      </c>
      <c r="G14" s="17">
        <v>2.2000000000000002</v>
      </c>
      <c r="H14" s="17">
        <v>7.3</v>
      </c>
      <c r="I14" s="17">
        <v>5.9</v>
      </c>
      <c r="J14" s="17">
        <v>1.5</v>
      </c>
      <c r="K14" s="17">
        <v>0.7</v>
      </c>
      <c r="L14" s="17">
        <v>5.9</v>
      </c>
      <c r="M14" s="17">
        <v>2.2000000000000002</v>
      </c>
      <c r="N14" s="17">
        <v>8.1</v>
      </c>
    </row>
    <row r="15" spans="2:14">
      <c r="B15" s="1" t="s">
        <v>16</v>
      </c>
      <c r="C15" s="17">
        <v>22</v>
      </c>
      <c r="D15" s="17">
        <v>22</v>
      </c>
      <c r="E15" s="17">
        <v>9.1</v>
      </c>
      <c r="F15" s="17">
        <v>7.6</v>
      </c>
      <c r="G15" s="17">
        <v>1.4</v>
      </c>
      <c r="H15" s="17">
        <v>3.9</v>
      </c>
      <c r="I15" s="17">
        <v>2.2999999999999998</v>
      </c>
      <c r="J15" s="17">
        <v>1.1000000000000001</v>
      </c>
      <c r="K15" s="17">
        <v>0.7</v>
      </c>
      <c r="L15" s="17">
        <v>1.3</v>
      </c>
      <c r="M15" s="17">
        <v>2.1</v>
      </c>
      <c r="N15" s="17">
        <v>19</v>
      </c>
    </row>
    <row r="16" spans="2:14">
      <c r="B16" s="1" t="s">
        <v>29</v>
      </c>
      <c r="C16" s="17">
        <v>13</v>
      </c>
      <c r="D16" s="17">
        <v>0</v>
      </c>
      <c r="E16" s="17">
        <v>4.5</v>
      </c>
      <c r="F16" s="17">
        <v>5.0999999999999996</v>
      </c>
      <c r="G16" s="17">
        <v>2.1</v>
      </c>
      <c r="H16" s="17">
        <v>2.7</v>
      </c>
      <c r="I16" s="17">
        <v>1.4</v>
      </c>
      <c r="J16" s="17">
        <v>1</v>
      </c>
      <c r="K16" s="17">
        <v>1</v>
      </c>
      <c r="L16" s="17">
        <v>1</v>
      </c>
      <c r="M16" s="17">
        <v>1.4</v>
      </c>
      <c r="N16" s="17">
        <v>14.1</v>
      </c>
    </row>
    <row r="17" spans="2:14">
      <c r="B17" s="1" t="s">
        <v>26</v>
      </c>
      <c r="C17" s="17">
        <v>7</v>
      </c>
      <c r="D17" s="17">
        <v>0</v>
      </c>
      <c r="E17" s="17">
        <v>1.8</v>
      </c>
      <c r="F17" s="17">
        <v>3.5</v>
      </c>
      <c r="G17" s="17">
        <v>1.8</v>
      </c>
      <c r="H17" s="17">
        <v>4.0999999999999996</v>
      </c>
      <c r="I17" s="17">
        <v>7.1</v>
      </c>
      <c r="J17" s="17">
        <v>0</v>
      </c>
      <c r="K17" s="17">
        <v>1.2</v>
      </c>
      <c r="L17" s="17">
        <v>2.4</v>
      </c>
      <c r="M17" s="17">
        <v>6.5</v>
      </c>
      <c r="N17" s="17">
        <v>6.5</v>
      </c>
    </row>
    <row r="18" spans="2:14">
      <c r="B18" s="1" t="s">
        <v>22</v>
      </c>
      <c r="C18" s="44">
        <v>0</v>
      </c>
      <c r="D18" s="44">
        <v>0</v>
      </c>
      <c r="E18" s="44">
        <v>0</v>
      </c>
      <c r="F18" s="44">
        <v>0</v>
      </c>
      <c r="G18" s="44">
        <v>0</v>
      </c>
      <c r="H18" s="44">
        <v>0</v>
      </c>
      <c r="I18" s="44">
        <v>0</v>
      </c>
      <c r="J18" s="44">
        <v>0</v>
      </c>
      <c r="K18" s="44">
        <v>0</v>
      </c>
      <c r="L18" s="44">
        <v>0</v>
      </c>
      <c r="M18" s="44">
        <v>0</v>
      </c>
      <c r="N18" s="44">
        <v>0</v>
      </c>
    </row>
    <row r="19" spans="2:14">
      <c r="B19" s="1" t="s">
        <v>30</v>
      </c>
      <c r="C19" s="44">
        <v>0</v>
      </c>
      <c r="D19" s="44">
        <v>0</v>
      </c>
      <c r="E19" s="44">
        <v>0</v>
      </c>
      <c r="F19" s="44">
        <v>0</v>
      </c>
      <c r="G19" s="44">
        <v>0</v>
      </c>
      <c r="H19" s="44">
        <v>0</v>
      </c>
      <c r="I19" s="44">
        <v>0</v>
      </c>
      <c r="J19" s="44">
        <v>0</v>
      </c>
      <c r="K19" s="44">
        <v>0</v>
      </c>
      <c r="L19" s="44">
        <v>0</v>
      </c>
      <c r="M19" s="44">
        <v>0</v>
      </c>
      <c r="N19" s="44">
        <v>0</v>
      </c>
    </row>
    <row r="20" spans="2:14">
      <c r="B20" s="15" t="s">
        <v>23</v>
      </c>
      <c r="C20" s="44">
        <v>0</v>
      </c>
      <c r="D20" s="44">
        <v>0</v>
      </c>
      <c r="E20" s="44">
        <v>0</v>
      </c>
      <c r="F20" s="44">
        <v>0</v>
      </c>
      <c r="G20" s="44">
        <v>0</v>
      </c>
      <c r="H20" s="44">
        <v>0</v>
      </c>
      <c r="I20" s="44">
        <v>0</v>
      </c>
      <c r="J20" s="44">
        <v>0</v>
      </c>
      <c r="K20" s="44">
        <v>0</v>
      </c>
      <c r="L20" s="44">
        <v>0</v>
      </c>
      <c r="M20" s="44">
        <v>0</v>
      </c>
      <c r="N20" s="44">
        <v>0</v>
      </c>
    </row>
    <row r="21" spans="2:14"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</row>
    <row r="22" spans="2:14">
      <c r="B22" s="12" t="s">
        <v>42</v>
      </c>
      <c r="C22" s="12" t="s">
        <v>43</v>
      </c>
      <c r="D22" s="12" t="s">
        <v>44</v>
      </c>
      <c r="E22" s="12" t="s">
        <v>45</v>
      </c>
      <c r="F22" s="12" t="s">
        <v>46</v>
      </c>
      <c r="G22" s="12" t="s">
        <v>47</v>
      </c>
      <c r="H22" s="12" t="s">
        <v>48</v>
      </c>
      <c r="I22" s="12" t="s">
        <v>49</v>
      </c>
      <c r="J22" s="12" t="s">
        <v>50</v>
      </c>
      <c r="K22" s="12" t="s">
        <v>51</v>
      </c>
      <c r="L22" s="12" t="s">
        <v>52</v>
      </c>
      <c r="M22" s="12" t="s">
        <v>53</v>
      </c>
      <c r="N22" s="12" t="s">
        <v>54</v>
      </c>
    </row>
    <row r="23" spans="2:14">
      <c r="B23" s="34" t="s">
        <v>55</v>
      </c>
      <c r="C23" s="33">
        <v>0.63200000000000001</v>
      </c>
      <c r="D23" s="33">
        <v>1.1439999999999999</v>
      </c>
      <c r="E23" s="33">
        <v>0.14299999999999999</v>
      </c>
      <c r="F23" s="33">
        <v>0.70499999999999996</v>
      </c>
      <c r="G23" s="33">
        <v>0.59699999999999998</v>
      </c>
      <c r="H23" s="33">
        <v>-1.2999999999999999E-2</v>
      </c>
      <c r="I23" s="33">
        <v>-1.6950000000000001</v>
      </c>
      <c r="J23" s="33">
        <v>-5.8999999999999997E-2</v>
      </c>
      <c r="K23" s="33">
        <v>-0.308</v>
      </c>
      <c r="L23" s="33">
        <v>-0.91</v>
      </c>
      <c r="M23" s="33">
        <v>-0.61199999999999999</v>
      </c>
      <c r="N23" s="43">
        <v>-5.6210000000000004</v>
      </c>
    </row>
    <row r="24" spans="2:14">
      <c r="B24" s="27" t="s">
        <v>56</v>
      </c>
      <c r="C24" s="22">
        <v>1.9239999999999999</v>
      </c>
      <c r="D24" s="22">
        <v>4.9000000000000002E-2</v>
      </c>
      <c r="E24" s="22">
        <v>0.25900000000000001</v>
      </c>
      <c r="F24" s="22">
        <v>0.192</v>
      </c>
      <c r="G24" s="22">
        <v>1.694</v>
      </c>
      <c r="H24" s="22">
        <v>1.393</v>
      </c>
      <c r="I24" s="22">
        <v>-0.874</v>
      </c>
      <c r="J24" s="22">
        <v>0.251</v>
      </c>
      <c r="K24" s="22">
        <v>5.5E-2</v>
      </c>
      <c r="L24" s="22">
        <v>-0.191</v>
      </c>
      <c r="M24" s="22">
        <v>-0.13800000000000001</v>
      </c>
      <c r="N24" s="21">
        <v>-3.5209999999999999</v>
      </c>
    </row>
    <row r="26" spans="2:14" ht="17.25">
      <c r="B26" s="14" t="s">
        <v>57</v>
      </c>
    </row>
    <row r="27" spans="2:14">
      <c r="B27" s="12" t="s">
        <v>1</v>
      </c>
      <c r="C27" s="12" t="s">
        <v>43</v>
      </c>
      <c r="D27" s="12" t="s">
        <v>44</v>
      </c>
      <c r="E27" s="12" t="s">
        <v>45</v>
      </c>
      <c r="F27" s="12" t="s">
        <v>46</v>
      </c>
      <c r="G27" s="12" t="s">
        <v>47</v>
      </c>
      <c r="H27" s="12" t="s">
        <v>48</v>
      </c>
      <c r="I27" s="12" t="s">
        <v>49</v>
      </c>
      <c r="J27" s="12" t="s">
        <v>50</v>
      </c>
      <c r="K27" s="12" t="s">
        <v>51</v>
      </c>
      <c r="L27" s="12" t="s">
        <v>52</v>
      </c>
      <c r="M27" s="12" t="s">
        <v>53</v>
      </c>
      <c r="N27" s="12" t="s">
        <v>54</v>
      </c>
    </row>
    <row r="28" spans="2:14">
      <c r="B28" s="1" t="s">
        <v>8</v>
      </c>
      <c r="C28" s="1">
        <f t="shared" ref="C28:C41" si="0">(D4/C4)^2</f>
        <v>1</v>
      </c>
      <c r="D28" s="1">
        <f t="shared" ref="D28:D44" si="1">N4</f>
        <v>17</v>
      </c>
      <c r="E28" s="1">
        <f t="shared" ref="E28:E44" si="2">H4</f>
        <v>7.7</v>
      </c>
      <c r="F28" s="1">
        <f t="shared" ref="F28:F44" si="3">I4</f>
        <v>1.9</v>
      </c>
      <c r="G28" s="1">
        <f t="shared" ref="G28:G44" si="4">J4</f>
        <v>1</v>
      </c>
      <c r="H28" s="1">
        <f t="shared" ref="H28:H44" si="5">K4</f>
        <v>1.1000000000000001</v>
      </c>
      <c r="I28" s="1">
        <f t="shared" ref="I28:I44" si="6">L4</f>
        <v>1.4</v>
      </c>
      <c r="J28" s="1">
        <f t="shared" ref="J28:J44" si="7">M4</f>
        <v>2.5</v>
      </c>
      <c r="K28" s="1">
        <f t="shared" ref="K28:K44" si="8">G4</f>
        <v>3.1</v>
      </c>
      <c r="L28" s="1">
        <f t="shared" ref="L28:L44" si="9">F4</f>
        <v>9.4</v>
      </c>
      <c r="M28" s="1">
        <f t="shared" ref="M28:M44" si="10">E4</f>
        <v>4.9000000000000004</v>
      </c>
      <c r="N28" s="1">
        <v>1</v>
      </c>
    </row>
    <row r="29" spans="2:14">
      <c r="B29" s="1" t="s">
        <v>27</v>
      </c>
      <c r="C29" s="3">
        <f t="shared" si="0"/>
        <v>5.1652892561983466E-2</v>
      </c>
      <c r="D29" s="1">
        <f t="shared" si="1"/>
        <v>22.2</v>
      </c>
      <c r="E29" s="1">
        <f t="shared" si="2"/>
        <v>3.7</v>
      </c>
      <c r="F29" s="1">
        <f t="shared" si="3"/>
        <v>4.9000000000000004</v>
      </c>
      <c r="G29" s="1">
        <f t="shared" si="4"/>
        <v>1</v>
      </c>
      <c r="H29" s="1">
        <f t="shared" si="5"/>
        <v>0.5</v>
      </c>
      <c r="I29" s="1">
        <f t="shared" si="6"/>
        <v>3.1</v>
      </c>
      <c r="J29" s="1">
        <f t="shared" si="7"/>
        <v>3.7</v>
      </c>
      <c r="K29" s="1">
        <f t="shared" si="8"/>
        <v>4.2</v>
      </c>
      <c r="L29" s="1">
        <f t="shared" si="9"/>
        <v>7.5</v>
      </c>
      <c r="M29" s="1">
        <f t="shared" si="10"/>
        <v>7.6</v>
      </c>
      <c r="N29" s="1">
        <v>1</v>
      </c>
    </row>
    <row r="30" spans="2:14">
      <c r="B30" s="1" t="s">
        <v>20</v>
      </c>
      <c r="C30" s="3">
        <f t="shared" si="0"/>
        <v>0.66942148760330589</v>
      </c>
      <c r="D30" s="1">
        <f t="shared" si="1"/>
        <v>28.4</v>
      </c>
      <c r="E30" s="1">
        <f t="shared" si="2"/>
        <v>5.4</v>
      </c>
      <c r="F30" s="1">
        <f t="shared" si="3"/>
        <v>6.1</v>
      </c>
      <c r="G30" s="1">
        <f t="shared" si="4"/>
        <v>1.4</v>
      </c>
      <c r="H30" s="1">
        <f t="shared" si="5"/>
        <v>0.4</v>
      </c>
      <c r="I30" s="1">
        <f t="shared" si="6"/>
        <v>2.7</v>
      </c>
      <c r="J30" s="1">
        <f t="shared" si="7"/>
        <v>2.8</v>
      </c>
      <c r="K30" s="1">
        <f t="shared" si="8"/>
        <v>6.1</v>
      </c>
      <c r="L30" s="1">
        <f t="shared" si="9"/>
        <v>9.9</v>
      </c>
      <c r="M30" s="1">
        <f t="shared" si="10"/>
        <v>10.8</v>
      </c>
      <c r="N30" s="1">
        <v>1</v>
      </c>
    </row>
    <row r="31" spans="2:14">
      <c r="B31" s="1" t="s">
        <v>17</v>
      </c>
      <c r="C31" s="3">
        <f t="shared" si="0"/>
        <v>0.34917355371900832</v>
      </c>
      <c r="D31" s="1">
        <f t="shared" si="1"/>
        <v>10.199999999999999</v>
      </c>
      <c r="E31" s="1">
        <f t="shared" si="2"/>
        <v>13.5</v>
      </c>
      <c r="F31" s="1">
        <f t="shared" si="3"/>
        <v>3.9</v>
      </c>
      <c r="G31" s="1">
        <f t="shared" si="4"/>
        <v>0.7</v>
      </c>
      <c r="H31" s="1">
        <f t="shared" si="5"/>
        <v>0.8</v>
      </c>
      <c r="I31" s="1">
        <f t="shared" si="6"/>
        <v>1.5</v>
      </c>
      <c r="J31" s="1">
        <f t="shared" si="7"/>
        <v>4</v>
      </c>
      <c r="K31" s="1">
        <f t="shared" si="8"/>
        <v>1.4</v>
      </c>
      <c r="L31" s="1">
        <f t="shared" si="9"/>
        <v>7.1</v>
      </c>
      <c r="M31" s="1">
        <f t="shared" si="10"/>
        <v>0</v>
      </c>
      <c r="N31" s="1">
        <v>1</v>
      </c>
    </row>
    <row r="32" spans="2:14">
      <c r="B32" s="1" t="s">
        <v>24</v>
      </c>
      <c r="C32" s="3">
        <f t="shared" si="0"/>
        <v>2.4930747922437671E-2</v>
      </c>
      <c r="D32" s="1">
        <f t="shared" si="1"/>
        <v>9.9</v>
      </c>
      <c r="E32" s="1">
        <f t="shared" si="2"/>
        <v>6.3</v>
      </c>
      <c r="F32" s="1">
        <f t="shared" si="3"/>
        <v>3.3</v>
      </c>
      <c r="G32" s="1">
        <f t="shared" si="4"/>
        <v>1.6</v>
      </c>
      <c r="H32" s="1">
        <f t="shared" si="5"/>
        <v>0.6</v>
      </c>
      <c r="I32" s="1">
        <f t="shared" si="6"/>
        <v>1.2</v>
      </c>
      <c r="J32" s="1">
        <f t="shared" si="7"/>
        <v>3.3</v>
      </c>
      <c r="K32" s="1">
        <f t="shared" si="8"/>
        <v>0.9</v>
      </c>
      <c r="L32" s="1">
        <f t="shared" si="9"/>
        <v>2.9</v>
      </c>
      <c r="M32" s="1">
        <f t="shared" si="10"/>
        <v>4.5999999999999996</v>
      </c>
      <c r="N32" s="1">
        <v>1</v>
      </c>
    </row>
    <row r="33" spans="2:16">
      <c r="B33" s="1" t="s">
        <v>10</v>
      </c>
      <c r="C33" s="3">
        <f t="shared" si="0"/>
        <v>1</v>
      </c>
      <c r="D33" s="1">
        <f t="shared" si="1"/>
        <v>9</v>
      </c>
      <c r="E33" s="1">
        <f t="shared" si="2"/>
        <v>8.1</v>
      </c>
      <c r="F33" s="1">
        <f t="shared" si="3"/>
        <v>7.1</v>
      </c>
      <c r="G33" s="1">
        <f t="shared" si="4"/>
        <v>1.3</v>
      </c>
      <c r="H33" s="1">
        <f t="shared" si="5"/>
        <v>1.1000000000000001</v>
      </c>
      <c r="I33" s="1">
        <f t="shared" si="6"/>
        <v>3</v>
      </c>
      <c r="J33" s="1">
        <f t="shared" si="7"/>
        <v>4.5</v>
      </c>
      <c r="K33" s="1">
        <f t="shared" si="8"/>
        <v>2.4</v>
      </c>
      <c r="L33" s="1">
        <f t="shared" si="9"/>
        <v>5.4</v>
      </c>
      <c r="M33" s="1">
        <f t="shared" si="10"/>
        <v>2</v>
      </c>
      <c r="N33" s="1">
        <v>1</v>
      </c>
    </row>
    <row r="34" spans="2:16">
      <c r="B34" s="1" t="s">
        <v>13</v>
      </c>
      <c r="C34" s="3">
        <f t="shared" si="0"/>
        <v>0</v>
      </c>
      <c r="D34" s="1">
        <f t="shared" si="1"/>
        <v>9.3000000000000007</v>
      </c>
      <c r="E34" s="1">
        <f t="shared" si="2"/>
        <v>7.5</v>
      </c>
      <c r="F34" s="1">
        <f t="shared" si="3"/>
        <v>2</v>
      </c>
      <c r="G34" s="1">
        <f t="shared" si="4"/>
        <v>0.3</v>
      </c>
      <c r="H34" s="1">
        <f t="shared" si="5"/>
        <v>0</v>
      </c>
      <c r="I34" s="1">
        <f t="shared" si="6"/>
        <v>1.7</v>
      </c>
      <c r="J34" s="1">
        <f t="shared" si="7"/>
        <v>2.2999999999999998</v>
      </c>
      <c r="K34" s="1">
        <f t="shared" si="8"/>
        <v>0.9</v>
      </c>
      <c r="L34" s="1">
        <f t="shared" si="9"/>
        <v>5.2</v>
      </c>
      <c r="M34" s="1">
        <f t="shared" si="10"/>
        <v>4.5999999999999996</v>
      </c>
      <c r="N34" s="1">
        <v>1</v>
      </c>
    </row>
    <row r="35" spans="2:16">
      <c r="B35" s="1" t="s">
        <v>15</v>
      </c>
      <c r="C35" s="3">
        <f t="shared" si="0"/>
        <v>2.7777777777777776E-2</v>
      </c>
      <c r="D35" s="1">
        <f t="shared" si="1"/>
        <v>13.8</v>
      </c>
      <c r="E35" s="1">
        <f t="shared" si="2"/>
        <v>6.6</v>
      </c>
      <c r="F35" s="1">
        <f t="shared" si="3"/>
        <v>2.8</v>
      </c>
      <c r="G35" s="1">
        <f t="shared" si="4"/>
        <v>2.5</v>
      </c>
      <c r="H35" s="1">
        <f t="shared" si="5"/>
        <v>1.2</v>
      </c>
      <c r="I35" s="1">
        <f t="shared" si="6"/>
        <v>1.1000000000000001</v>
      </c>
      <c r="J35" s="1">
        <f t="shared" si="7"/>
        <v>4.0999999999999996</v>
      </c>
      <c r="K35" s="1">
        <f t="shared" si="8"/>
        <v>3.2</v>
      </c>
      <c r="L35" s="1">
        <f t="shared" si="9"/>
        <v>5.0999999999999996</v>
      </c>
      <c r="M35" s="1">
        <f t="shared" si="10"/>
        <v>2.7</v>
      </c>
      <c r="N35" s="1">
        <v>1</v>
      </c>
    </row>
    <row r="36" spans="2:16">
      <c r="B36" s="1" t="s">
        <v>11</v>
      </c>
      <c r="C36" s="3">
        <f t="shared" si="0"/>
        <v>3.515625E-2</v>
      </c>
      <c r="D36" s="1">
        <f t="shared" si="1"/>
        <v>21.7</v>
      </c>
      <c r="E36" s="1">
        <f t="shared" si="2"/>
        <v>7</v>
      </c>
      <c r="F36" s="1">
        <f t="shared" si="3"/>
        <v>2.1</v>
      </c>
      <c r="G36" s="1">
        <f t="shared" si="4"/>
        <v>0.8</v>
      </c>
      <c r="H36" s="1">
        <f t="shared" si="5"/>
        <v>0.5</v>
      </c>
      <c r="I36" s="1">
        <f t="shared" si="6"/>
        <v>2.9</v>
      </c>
      <c r="J36" s="1">
        <f t="shared" si="7"/>
        <v>2.9</v>
      </c>
      <c r="K36" s="1">
        <f t="shared" si="8"/>
        <v>6.8</v>
      </c>
      <c r="L36" s="1">
        <f t="shared" si="9"/>
        <v>12.3</v>
      </c>
      <c r="M36" s="1">
        <f t="shared" si="10"/>
        <v>3.4</v>
      </c>
      <c r="N36" s="1">
        <v>1</v>
      </c>
    </row>
    <row r="37" spans="2:16">
      <c r="B37" s="1" t="s">
        <v>19</v>
      </c>
      <c r="C37" s="1">
        <f t="shared" si="0"/>
        <v>0</v>
      </c>
      <c r="D37" s="1">
        <f t="shared" si="1"/>
        <v>10.3</v>
      </c>
      <c r="E37" s="1">
        <f t="shared" si="2"/>
        <v>7.4</v>
      </c>
      <c r="F37" s="1">
        <f t="shared" si="3"/>
        <v>4.0999999999999996</v>
      </c>
      <c r="G37" s="1">
        <f t="shared" si="4"/>
        <v>1</v>
      </c>
      <c r="H37" s="1">
        <f t="shared" si="5"/>
        <v>0.5</v>
      </c>
      <c r="I37" s="1">
        <f t="shared" si="6"/>
        <v>1.7</v>
      </c>
      <c r="J37" s="1">
        <f t="shared" si="7"/>
        <v>5</v>
      </c>
      <c r="K37" s="1">
        <f t="shared" si="8"/>
        <v>1.7</v>
      </c>
      <c r="L37" s="1">
        <f t="shared" si="9"/>
        <v>6.2</v>
      </c>
      <c r="M37" s="1">
        <f t="shared" si="10"/>
        <v>1.9</v>
      </c>
      <c r="N37" s="1">
        <v>1</v>
      </c>
    </row>
    <row r="38" spans="2:16">
      <c r="B38" s="1" t="s">
        <v>12</v>
      </c>
      <c r="C38" s="3">
        <f t="shared" si="0"/>
        <v>0</v>
      </c>
      <c r="D38" s="1">
        <f t="shared" si="1"/>
        <v>8.1</v>
      </c>
      <c r="E38" s="1">
        <f t="shared" si="2"/>
        <v>7.3</v>
      </c>
      <c r="F38" s="1">
        <f t="shared" si="3"/>
        <v>5.9</v>
      </c>
      <c r="G38" s="1">
        <f t="shared" si="4"/>
        <v>1.5</v>
      </c>
      <c r="H38" s="1">
        <f t="shared" si="5"/>
        <v>0.7</v>
      </c>
      <c r="I38" s="1">
        <f t="shared" si="6"/>
        <v>5.9</v>
      </c>
      <c r="J38" s="1">
        <f t="shared" si="7"/>
        <v>2.2000000000000002</v>
      </c>
      <c r="K38" s="1">
        <f t="shared" si="8"/>
        <v>2.2000000000000002</v>
      </c>
      <c r="L38" s="1">
        <f t="shared" si="9"/>
        <v>3.7</v>
      </c>
      <c r="M38" s="1">
        <f t="shared" si="10"/>
        <v>3.7</v>
      </c>
      <c r="N38" s="1">
        <v>1</v>
      </c>
    </row>
    <row r="39" spans="2:16">
      <c r="B39" s="1" t="s">
        <v>16</v>
      </c>
      <c r="C39" s="1">
        <f t="shared" si="0"/>
        <v>1</v>
      </c>
      <c r="D39" s="1">
        <f t="shared" si="1"/>
        <v>19</v>
      </c>
      <c r="E39" s="1">
        <f t="shared" si="2"/>
        <v>3.9</v>
      </c>
      <c r="F39" s="1">
        <f t="shared" si="3"/>
        <v>2.2999999999999998</v>
      </c>
      <c r="G39" s="1">
        <f t="shared" si="4"/>
        <v>1.1000000000000001</v>
      </c>
      <c r="H39" s="1">
        <f t="shared" si="5"/>
        <v>0.7</v>
      </c>
      <c r="I39" s="1">
        <f t="shared" si="6"/>
        <v>1.3</v>
      </c>
      <c r="J39" s="1">
        <f t="shared" si="7"/>
        <v>2.1</v>
      </c>
      <c r="K39" s="1">
        <f t="shared" si="8"/>
        <v>1.4</v>
      </c>
      <c r="L39" s="1">
        <f t="shared" si="9"/>
        <v>7.6</v>
      </c>
      <c r="M39" s="1">
        <f t="shared" si="10"/>
        <v>9.1</v>
      </c>
      <c r="N39" s="1">
        <v>1</v>
      </c>
    </row>
    <row r="40" spans="2:16">
      <c r="B40" s="1" t="s">
        <v>29</v>
      </c>
      <c r="C40" s="3">
        <f t="shared" si="0"/>
        <v>0</v>
      </c>
      <c r="D40" s="1">
        <f t="shared" si="1"/>
        <v>14.1</v>
      </c>
      <c r="E40" s="1">
        <f t="shared" si="2"/>
        <v>2.7</v>
      </c>
      <c r="F40" s="1">
        <f t="shared" si="3"/>
        <v>1.4</v>
      </c>
      <c r="G40" s="1">
        <f t="shared" si="4"/>
        <v>1</v>
      </c>
      <c r="H40" s="1">
        <f t="shared" si="5"/>
        <v>1</v>
      </c>
      <c r="I40" s="1">
        <f t="shared" si="6"/>
        <v>1</v>
      </c>
      <c r="J40" s="1">
        <f t="shared" si="7"/>
        <v>1.4</v>
      </c>
      <c r="K40" s="1">
        <f t="shared" si="8"/>
        <v>2.1</v>
      </c>
      <c r="L40" s="1">
        <f t="shared" si="9"/>
        <v>5.0999999999999996</v>
      </c>
      <c r="M40" s="1">
        <f t="shared" si="10"/>
        <v>4.5</v>
      </c>
      <c r="N40" s="1">
        <v>1</v>
      </c>
    </row>
    <row r="41" spans="2:16">
      <c r="B41" s="1" t="s">
        <v>26</v>
      </c>
      <c r="C41" s="1">
        <f t="shared" si="0"/>
        <v>0</v>
      </c>
      <c r="D41" s="1">
        <f t="shared" si="1"/>
        <v>6.5</v>
      </c>
      <c r="E41" s="1">
        <f t="shared" si="2"/>
        <v>4.0999999999999996</v>
      </c>
      <c r="F41" s="1">
        <f t="shared" si="3"/>
        <v>7.1</v>
      </c>
      <c r="G41" s="1">
        <f t="shared" si="4"/>
        <v>0</v>
      </c>
      <c r="H41" s="1">
        <f t="shared" si="5"/>
        <v>1.2</v>
      </c>
      <c r="I41" s="1">
        <f t="shared" si="6"/>
        <v>2.4</v>
      </c>
      <c r="J41" s="1">
        <f t="shared" si="7"/>
        <v>6.5</v>
      </c>
      <c r="K41" s="1">
        <f t="shared" si="8"/>
        <v>1.8</v>
      </c>
      <c r="L41" s="1">
        <f t="shared" si="9"/>
        <v>3.5</v>
      </c>
      <c r="M41" s="1">
        <f t="shared" si="10"/>
        <v>1.8</v>
      </c>
      <c r="N41" s="1">
        <v>1</v>
      </c>
    </row>
    <row r="42" spans="2:16">
      <c r="B42" s="1" t="s">
        <v>22</v>
      </c>
      <c r="C42" s="46">
        <v>0</v>
      </c>
      <c r="D42" s="46">
        <f t="shared" si="1"/>
        <v>0</v>
      </c>
      <c r="E42" s="46">
        <f t="shared" si="2"/>
        <v>0</v>
      </c>
      <c r="F42" s="46">
        <f t="shared" si="3"/>
        <v>0</v>
      </c>
      <c r="G42" s="46">
        <f t="shared" si="4"/>
        <v>0</v>
      </c>
      <c r="H42" s="46">
        <f t="shared" si="5"/>
        <v>0</v>
      </c>
      <c r="I42" s="46">
        <f t="shared" si="6"/>
        <v>0</v>
      </c>
      <c r="J42" s="46">
        <f t="shared" si="7"/>
        <v>0</v>
      </c>
      <c r="K42" s="46">
        <f t="shared" si="8"/>
        <v>0</v>
      </c>
      <c r="L42" s="46">
        <f t="shared" si="9"/>
        <v>0</v>
      </c>
      <c r="M42" s="46">
        <f t="shared" si="10"/>
        <v>0</v>
      </c>
      <c r="N42" s="46">
        <v>0</v>
      </c>
    </row>
    <row r="43" spans="2:16">
      <c r="B43" s="1" t="s">
        <v>30</v>
      </c>
      <c r="C43" s="46">
        <v>0</v>
      </c>
      <c r="D43" s="46">
        <f t="shared" si="1"/>
        <v>0</v>
      </c>
      <c r="E43" s="46">
        <f t="shared" si="2"/>
        <v>0</v>
      </c>
      <c r="F43" s="46">
        <f t="shared" si="3"/>
        <v>0</v>
      </c>
      <c r="G43" s="46">
        <f t="shared" si="4"/>
        <v>0</v>
      </c>
      <c r="H43" s="46">
        <f t="shared" si="5"/>
        <v>0</v>
      </c>
      <c r="I43" s="46">
        <f t="shared" si="6"/>
        <v>0</v>
      </c>
      <c r="J43" s="46">
        <f t="shared" si="7"/>
        <v>0</v>
      </c>
      <c r="K43" s="46">
        <f t="shared" si="8"/>
        <v>0</v>
      </c>
      <c r="L43" s="46">
        <f t="shared" si="9"/>
        <v>0</v>
      </c>
      <c r="M43" s="46">
        <f t="shared" si="10"/>
        <v>0</v>
      </c>
      <c r="N43" s="46">
        <v>0</v>
      </c>
    </row>
    <row r="44" spans="2:16">
      <c r="B44" s="15" t="s">
        <v>23</v>
      </c>
      <c r="C44" s="47">
        <v>0</v>
      </c>
      <c r="D44" s="47">
        <f t="shared" si="1"/>
        <v>0</v>
      </c>
      <c r="E44" s="47">
        <f t="shared" si="2"/>
        <v>0</v>
      </c>
      <c r="F44" s="47">
        <f t="shared" si="3"/>
        <v>0</v>
      </c>
      <c r="G44" s="47">
        <f t="shared" si="4"/>
        <v>0</v>
      </c>
      <c r="H44" s="47">
        <f t="shared" si="5"/>
        <v>0</v>
      </c>
      <c r="I44" s="47">
        <f t="shared" si="6"/>
        <v>0</v>
      </c>
      <c r="J44" s="47">
        <f t="shared" si="7"/>
        <v>0</v>
      </c>
      <c r="K44" s="47">
        <f t="shared" si="8"/>
        <v>0</v>
      </c>
      <c r="L44" s="47">
        <f t="shared" si="9"/>
        <v>0</v>
      </c>
      <c r="M44" s="47">
        <f t="shared" si="10"/>
        <v>0</v>
      </c>
      <c r="N44" s="47">
        <v>0</v>
      </c>
    </row>
    <row r="46" spans="2:16" ht="17.25">
      <c r="B46" s="14" t="s">
        <v>58</v>
      </c>
    </row>
    <row r="47" spans="2:16">
      <c r="B47" s="12" t="s">
        <v>1</v>
      </c>
      <c r="C47" s="12" t="s">
        <v>43</v>
      </c>
      <c r="D47" s="12" t="s">
        <v>44</v>
      </c>
      <c r="E47" s="12" t="s">
        <v>45</v>
      </c>
      <c r="F47" s="12" t="s">
        <v>46</v>
      </c>
      <c r="G47" s="12" t="s">
        <v>47</v>
      </c>
      <c r="H47" s="12" t="s">
        <v>48</v>
      </c>
      <c r="I47" s="12" t="s">
        <v>49</v>
      </c>
      <c r="J47" s="12" t="s">
        <v>50</v>
      </c>
      <c r="K47" s="12" t="s">
        <v>51</v>
      </c>
      <c r="L47" s="12" t="s">
        <v>52</v>
      </c>
      <c r="M47" s="12" t="s">
        <v>53</v>
      </c>
      <c r="N47" s="12" t="s">
        <v>54</v>
      </c>
      <c r="O47" s="12" t="s">
        <v>59</v>
      </c>
      <c r="P47" s="3"/>
    </row>
    <row r="48" spans="2:16">
      <c r="B48" s="1" t="s">
        <v>8</v>
      </c>
      <c r="C48" s="2">
        <f t="shared" ref="C48:N48" si="11">C$23*C28</f>
        <v>0.63200000000000001</v>
      </c>
      <c r="D48" s="2">
        <f t="shared" si="11"/>
        <v>19.447999999999997</v>
      </c>
      <c r="E48" s="2">
        <f t="shared" si="11"/>
        <v>1.1011</v>
      </c>
      <c r="F48" s="2">
        <f t="shared" si="11"/>
        <v>1.3394999999999999</v>
      </c>
      <c r="G48" s="2">
        <f t="shared" si="11"/>
        <v>0.59699999999999998</v>
      </c>
      <c r="H48" s="2">
        <f t="shared" si="11"/>
        <v>-1.43E-2</v>
      </c>
      <c r="I48" s="2">
        <f t="shared" si="11"/>
        <v>-2.3729999999999998</v>
      </c>
      <c r="J48" s="2">
        <f t="shared" si="11"/>
        <v>-0.14749999999999999</v>
      </c>
      <c r="K48" s="2">
        <f t="shared" si="11"/>
        <v>-0.95479999999999998</v>
      </c>
      <c r="L48" s="2">
        <f t="shared" si="11"/>
        <v>-8.5540000000000003</v>
      </c>
      <c r="M48" s="2">
        <f t="shared" si="11"/>
        <v>-2.9988000000000001</v>
      </c>
      <c r="N48" s="2">
        <f t="shared" si="11"/>
        <v>-5.6210000000000004</v>
      </c>
      <c r="O48" s="2">
        <f t="shared" ref="O48:O64" si="12">SUM(C48:N48)</f>
        <v>2.4541999999999984</v>
      </c>
      <c r="P48" s="3"/>
    </row>
    <row r="49" spans="2:16">
      <c r="B49" s="1" t="s">
        <v>27</v>
      </c>
      <c r="C49" s="2">
        <f t="shared" ref="C49:N49" si="13">C$23*C29</f>
        <v>3.2644628099173553E-2</v>
      </c>
      <c r="D49" s="2">
        <f t="shared" si="13"/>
        <v>25.396799999999995</v>
      </c>
      <c r="E49" s="2">
        <f t="shared" si="13"/>
        <v>0.52910000000000001</v>
      </c>
      <c r="F49" s="2">
        <f t="shared" si="13"/>
        <v>3.4544999999999999</v>
      </c>
      <c r="G49" s="2">
        <f t="shared" si="13"/>
        <v>0.59699999999999998</v>
      </c>
      <c r="H49" s="2">
        <f t="shared" si="13"/>
        <v>-6.4999999999999997E-3</v>
      </c>
      <c r="I49" s="2">
        <f t="shared" si="13"/>
        <v>-5.2545000000000002</v>
      </c>
      <c r="J49" s="2">
        <f t="shared" si="13"/>
        <v>-0.21829999999999999</v>
      </c>
      <c r="K49" s="2">
        <f t="shared" si="13"/>
        <v>-1.2936000000000001</v>
      </c>
      <c r="L49" s="2">
        <f t="shared" si="13"/>
        <v>-6.8250000000000002</v>
      </c>
      <c r="M49" s="2">
        <f t="shared" si="13"/>
        <v>-4.6511999999999993</v>
      </c>
      <c r="N49" s="2">
        <f t="shared" si="13"/>
        <v>-5.6210000000000004</v>
      </c>
      <c r="O49" s="2">
        <f t="shared" si="12"/>
        <v>6.1399446280991707</v>
      </c>
      <c r="P49" s="3"/>
    </row>
    <row r="50" spans="2:16">
      <c r="B50" s="1" t="s">
        <v>20</v>
      </c>
      <c r="C50" s="2">
        <f t="shared" ref="C50:N50" si="14">C$23*C30</f>
        <v>0.42307438016528931</v>
      </c>
      <c r="D50" s="2">
        <f t="shared" si="14"/>
        <v>32.489599999999996</v>
      </c>
      <c r="E50" s="2">
        <f t="shared" si="14"/>
        <v>0.7722</v>
      </c>
      <c r="F50" s="2">
        <f t="shared" si="14"/>
        <v>4.3004999999999995</v>
      </c>
      <c r="G50" s="2">
        <f t="shared" si="14"/>
        <v>0.83579999999999988</v>
      </c>
      <c r="H50" s="2">
        <f t="shared" si="14"/>
        <v>-5.1999999999999998E-3</v>
      </c>
      <c r="I50" s="2">
        <f t="shared" si="14"/>
        <v>-4.5765000000000002</v>
      </c>
      <c r="J50" s="2">
        <f t="shared" si="14"/>
        <v>-0.16519999999999999</v>
      </c>
      <c r="K50" s="2">
        <f t="shared" si="14"/>
        <v>-1.8787999999999998</v>
      </c>
      <c r="L50" s="2">
        <f t="shared" si="14"/>
        <v>-9.0090000000000003</v>
      </c>
      <c r="M50" s="2">
        <f t="shared" si="14"/>
        <v>-6.6096000000000004</v>
      </c>
      <c r="N50" s="2">
        <f t="shared" si="14"/>
        <v>-5.6210000000000004</v>
      </c>
      <c r="O50" s="2">
        <f t="shared" si="12"/>
        <v>10.955874380165278</v>
      </c>
      <c r="P50" s="3"/>
    </row>
    <row r="51" spans="2:16">
      <c r="B51" s="1" t="s">
        <v>17</v>
      </c>
      <c r="C51" s="2">
        <f t="shared" ref="C51:N51" si="15">C$23*C31</f>
        <v>0.22067768595041326</v>
      </c>
      <c r="D51" s="2">
        <f t="shared" si="15"/>
        <v>11.668799999999997</v>
      </c>
      <c r="E51" s="2">
        <f t="shared" si="15"/>
        <v>1.9304999999999999</v>
      </c>
      <c r="F51" s="2">
        <f t="shared" si="15"/>
        <v>2.7494999999999998</v>
      </c>
      <c r="G51" s="2">
        <f t="shared" si="15"/>
        <v>0.41789999999999994</v>
      </c>
      <c r="H51" s="2">
        <f t="shared" si="15"/>
        <v>-1.04E-2</v>
      </c>
      <c r="I51" s="2">
        <f t="shared" si="15"/>
        <v>-2.5425</v>
      </c>
      <c r="J51" s="2">
        <f t="shared" si="15"/>
        <v>-0.23599999999999999</v>
      </c>
      <c r="K51" s="2">
        <f t="shared" si="15"/>
        <v>-0.43119999999999997</v>
      </c>
      <c r="L51" s="2">
        <f t="shared" si="15"/>
        <v>-6.4610000000000003</v>
      </c>
      <c r="M51" s="2">
        <f t="shared" si="15"/>
        <v>0</v>
      </c>
      <c r="N51" s="2">
        <f t="shared" si="15"/>
        <v>-5.6210000000000004</v>
      </c>
      <c r="O51" s="2">
        <f t="shared" si="12"/>
        <v>1.6852776859504068</v>
      </c>
      <c r="P51" s="3"/>
    </row>
    <row r="52" spans="2:16">
      <c r="B52" s="1" t="s">
        <v>24</v>
      </c>
      <c r="C52" s="2">
        <f t="shared" ref="C52:N52" si="16">C$23*C32</f>
        <v>1.575623268698061E-2</v>
      </c>
      <c r="D52" s="2">
        <f t="shared" si="16"/>
        <v>11.3256</v>
      </c>
      <c r="E52" s="2">
        <f t="shared" si="16"/>
        <v>0.90089999999999992</v>
      </c>
      <c r="F52" s="2">
        <f t="shared" si="16"/>
        <v>2.3264999999999998</v>
      </c>
      <c r="G52" s="2">
        <f t="shared" si="16"/>
        <v>0.95520000000000005</v>
      </c>
      <c r="H52" s="2">
        <f t="shared" si="16"/>
        <v>-7.7999999999999996E-3</v>
      </c>
      <c r="I52" s="2">
        <f t="shared" si="16"/>
        <v>-2.0339999999999998</v>
      </c>
      <c r="J52" s="2">
        <f t="shared" si="16"/>
        <v>-0.19469999999999998</v>
      </c>
      <c r="K52" s="2">
        <f t="shared" si="16"/>
        <v>-0.2772</v>
      </c>
      <c r="L52" s="2">
        <f t="shared" si="16"/>
        <v>-2.6389999999999998</v>
      </c>
      <c r="M52" s="2">
        <f t="shared" si="16"/>
        <v>-2.8151999999999999</v>
      </c>
      <c r="N52" s="2">
        <f t="shared" si="16"/>
        <v>-5.6210000000000004</v>
      </c>
      <c r="O52" s="2">
        <f t="shared" si="12"/>
        <v>1.9350562326869793</v>
      </c>
      <c r="P52" s="3"/>
    </row>
    <row r="53" spans="2:16">
      <c r="B53" s="1" t="s">
        <v>10</v>
      </c>
      <c r="C53" s="2">
        <f t="shared" ref="C53:N53" si="17">C$23*C33</f>
        <v>0.63200000000000001</v>
      </c>
      <c r="D53" s="2">
        <f t="shared" si="17"/>
        <v>10.295999999999999</v>
      </c>
      <c r="E53" s="2">
        <f t="shared" si="17"/>
        <v>1.1582999999999999</v>
      </c>
      <c r="F53" s="2">
        <f t="shared" si="17"/>
        <v>5.0054999999999996</v>
      </c>
      <c r="G53" s="2">
        <f t="shared" si="17"/>
        <v>0.77610000000000001</v>
      </c>
      <c r="H53" s="2">
        <f t="shared" si="17"/>
        <v>-1.43E-2</v>
      </c>
      <c r="I53" s="2">
        <f t="shared" si="17"/>
        <v>-5.085</v>
      </c>
      <c r="J53" s="2">
        <f t="shared" si="17"/>
        <v>-0.26549999999999996</v>
      </c>
      <c r="K53" s="2">
        <f t="shared" si="17"/>
        <v>-0.73919999999999997</v>
      </c>
      <c r="L53" s="2">
        <f t="shared" si="17"/>
        <v>-4.9140000000000006</v>
      </c>
      <c r="M53" s="2">
        <f t="shared" si="17"/>
        <v>-1.224</v>
      </c>
      <c r="N53" s="2">
        <f t="shared" si="17"/>
        <v>-5.6210000000000004</v>
      </c>
      <c r="O53" s="2">
        <f t="shared" si="12"/>
        <v>4.8999999999983501E-3</v>
      </c>
      <c r="P53" s="3"/>
    </row>
    <row r="54" spans="2:16">
      <c r="B54" s="1" t="s">
        <v>13</v>
      </c>
      <c r="C54" s="2">
        <f t="shared" ref="C54:N54" si="18">C$23*C34</f>
        <v>0</v>
      </c>
      <c r="D54" s="2">
        <f t="shared" si="18"/>
        <v>10.639200000000001</v>
      </c>
      <c r="E54" s="2">
        <f t="shared" si="18"/>
        <v>1.0725</v>
      </c>
      <c r="F54" s="2">
        <f t="shared" si="18"/>
        <v>1.41</v>
      </c>
      <c r="G54" s="2">
        <f t="shared" si="18"/>
        <v>0.17909999999999998</v>
      </c>
      <c r="H54" s="2">
        <f t="shared" si="18"/>
        <v>0</v>
      </c>
      <c r="I54" s="2">
        <f t="shared" si="18"/>
        <v>-2.8815</v>
      </c>
      <c r="J54" s="2">
        <f t="shared" si="18"/>
        <v>-0.13569999999999999</v>
      </c>
      <c r="K54" s="2">
        <f t="shared" si="18"/>
        <v>-0.2772</v>
      </c>
      <c r="L54" s="2">
        <f t="shared" si="18"/>
        <v>-4.7320000000000002</v>
      </c>
      <c r="M54" s="2">
        <f t="shared" si="18"/>
        <v>-2.8151999999999999</v>
      </c>
      <c r="N54" s="2">
        <f t="shared" si="18"/>
        <v>-5.6210000000000004</v>
      </c>
      <c r="O54" s="2">
        <f t="shared" si="12"/>
        <v>-3.1618000000000013</v>
      </c>
      <c r="P54" s="3"/>
    </row>
    <row r="55" spans="2:16">
      <c r="B55" s="1" t="s">
        <v>15</v>
      </c>
      <c r="C55" s="2">
        <f t="shared" ref="C55:N55" si="19">C$23*C35</f>
        <v>1.7555555555555553E-2</v>
      </c>
      <c r="D55" s="2">
        <f t="shared" si="19"/>
        <v>15.7872</v>
      </c>
      <c r="E55" s="2">
        <f t="shared" si="19"/>
        <v>0.94379999999999986</v>
      </c>
      <c r="F55" s="2">
        <f t="shared" si="19"/>
        <v>1.9739999999999998</v>
      </c>
      <c r="G55" s="2">
        <f t="shared" si="19"/>
        <v>1.4924999999999999</v>
      </c>
      <c r="H55" s="2">
        <f t="shared" si="19"/>
        <v>-1.5599999999999999E-2</v>
      </c>
      <c r="I55" s="2">
        <f t="shared" si="19"/>
        <v>-1.8645000000000003</v>
      </c>
      <c r="J55" s="2">
        <f t="shared" si="19"/>
        <v>-0.24189999999999998</v>
      </c>
      <c r="K55" s="2">
        <f t="shared" si="19"/>
        <v>-0.98560000000000003</v>
      </c>
      <c r="L55" s="2">
        <f t="shared" si="19"/>
        <v>-4.641</v>
      </c>
      <c r="M55" s="2">
        <f t="shared" si="19"/>
        <v>-1.6524000000000001</v>
      </c>
      <c r="N55" s="2">
        <f t="shared" si="19"/>
        <v>-5.6210000000000004</v>
      </c>
      <c r="O55" s="2">
        <f t="shared" si="12"/>
        <v>5.1930555555555529</v>
      </c>
      <c r="P55" s="3"/>
    </row>
    <row r="56" spans="2:16">
      <c r="B56" s="1" t="s">
        <v>11</v>
      </c>
      <c r="C56" s="2">
        <f t="shared" ref="C56:N56" si="20">C$23*C36</f>
        <v>2.2218749999999999E-2</v>
      </c>
      <c r="D56" s="2">
        <f t="shared" si="20"/>
        <v>24.824799999999996</v>
      </c>
      <c r="E56" s="2">
        <f t="shared" si="20"/>
        <v>1.0009999999999999</v>
      </c>
      <c r="F56" s="2">
        <f t="shared" si="20"/>
        <v>1.4804999999999999</v>
      </c>
      <c r="G56" s="2">
        <f t="shared" si="20"/>
        <v>0.47760000000000002</v>
      </c>
      <c r="H56" s="2">
        <f t="shared" si="20"/>
        <v>-6.4999999999999997E-3</v>
      </c>
      <c r="I56" s="2">
        <f t="shared" si="20"/>
        <v>-4.9154999999999998</v>
      </c>
      <c r="J56" s="2">
        <f t="shared" si="20"/>
        <v>-0.17109999999999997</v>
      </c>
      <c r="K56" s="2">
        <f t="shared" si="20"/>
        <v>-2.0943999999999998</v>
      </c>
      <c r="L56" s="2">
        <f t="shared" si="20"/>
        <v>-11.193000000000001</v>
      </c>
      <c r="M56" s="2">
        <f t="shared" si="20"/>
        <v>-2.0808</v>
      </c>
      <c r="N56" s="2">
        <f t="shared" si="20"/>
        <v>-5.6210000000000004</v>
      </c>
      <c r="O56" s="2">
        <f t="shared" si="12"/>
        <v>1.7238187499999977</v>
      </c>
      <c r="P56" s="3"/>
    </row>
    <row r="57" spans="2:16">
      <c r="B57" s="1" t="s">
        <v>19</v>
      </c>
      <c r="C57" s="2">
        <f t="shared" ref="C57:N57" si="21">C$23*C37</f>
        <v>0</v>
      </c>
      <c r="D57" s="2">
        <f t="shared" si="21"/>
        <v>11.783199999999999</v>
      </c>
      <c r="E57" s="2">
        <f t="shared" si="21"/>
        <v>1.0582</v>
      </c>
      <c r="F57" s="2">
        <f t="shared" si="21"/>
        <v>2.8904999999999994</v>
      </c>
      <c r="G57" s="2">
        <f t="shared" si="21"/>
        <v>0.59699999999999998</v>
      </c>
      <c r="H57" s="2">
        <f t="shared" si="21"/>
        <v>-6.4999999999999997E-3</v>
      </c>
      <c r="I57" s="2">
        <f t="shared" si="21"/>
        <v>-2.8815</v>
      </c>
      <c r="J57" s="2">
        <f t="shared" si="21"/>
        <v>-0.29499999999999998</v>
      </c>
      <c r="K57" s="2">
        <f t="shared" si="21"/>
        <v>-0.52359999999999995</v>
      </c>
      <c r="L57" s="2">
        <f t="shared" si="21"/>
        <v>-5.6420000000000003</v>
      </c>
      <c r="M57" s="2">
        <f t="shared" si="21"/>
        <v>-1.1627999999999998</v>
      </c>
      <c r="N57" s="2">
        <f t="shared" si="21"/>
        <v>-5.6210000000000004</v>
      </c>
      <c r="O57" s="2">
        <f t="shared" si="12"/>
        <v>0.19649999999999856</v>
      </c>
      <c r="P57" s="3"/>
    </row>
    <row r="58" spans="2:16">
      <c r="B58" s="1" t="s">
        <v>12</v>
      </c>
      <c r="C58" s="2">
        <f t="shared" ref="C58:N58" si="22">C$23*C38</f>
        <v>0</v>
      </c>
      <c r="D58" s="2">
        <f t="shared" si="22"/>
        <v>9.2663999999999991</v>
      </c>
      <c r="E58" s="2">
        <f t="shared" si="22"/>
        <v>1.0438999999999998</v>
      </c>
      <c r="F58" s="2">
        <f t="shared" si="22"/>
        <v>4.1595000000000004</v>
      </c>
      <c r="G58" s="2">
        <f t="shared" si="22"/>
        <v>0.89549999999999996</v>
      </c>
      <c r="H58" s="2">
        <f t="shared" si="22"/>
        <v>-9.0999999999999987E-3</v>
      </c>
      <c r="I58" s="2">
        <f t="shared" si="22"/>
        <v>-10.000500000000001</v>
      </c>
      <c r="J58" s="2">
        <f t="shared" si="22"/>
        <v>-0.1298</v>
      </c>
      <c r="K58" s="2">
        <f t="shared" si="22"/>
        <v>-0.67760000000000009</v>
      </c>
      <c r="L58" s="2">
        <f t="shared" si="22"/>
        <v>-3.3670000000000004</v>
      </c>
      <c r="M58" s="2">
        <f t="shared" si="22"/>
        <v>-2.2644000000000002</v>
      </c>
      <c r="N58" s="2">
        <f t="shared" si="22"/>
        <v>-5.6210000000000004</v>
      </c>
      <c r="O58" s="2">
        <f t="shared" si="12"/>
        <v>-6.7041000000000022</v>
      </c>
      <c r="P58" s="3"/>
    </row>
    <row r="59" spans="2:16">
      <c r="B59" s="1" t="s">
        <v>16</v>
      </c>
      <c r="C59" s="2">
        <f t="shared" ref="C59:N59" si="23">C$23*C39</f>
        <v>0.63200000000000001</v>
      </c>
      <c r="D59" s="2">
        <f t="shared" si="23"/>
        <v>21.735999999999997</v>
      </c>
      <c r="E59" s="2">
        <f t="shared" si="23"/>
        <v>0.55769999999999997</v>
      </c>
      <c r="F59" s="2">
        <f t="shared" si="23"/>
        <v>1.6214999999999997</v>
      </c>
      <c r="G59" s="2">
        <f t="shared" si="23"/>
        <v>0.65670000000000006</v>
      </c>
      <c r="H59" s="2">
        <f t="shared" si="23"/>
        <v>-9.0999999999999987E-3</v>
      </c>
      <c r="I59" s="2">
        <f t="shared" si="23"/>
        <v>-2.2035</v>
      </c>
      <c r="J59" s="2">
        <f t="shared" si="23"/>
        <v>-0.1239</v>
      </c>
      <c r="K59" s="2">
        <f t="shared" si="23"/>
        <v>-0.43119999999999997</v>
      </c>
      <c r="L59" s="2">
        <f t="shared" si="23"/>
        <v>-6.9159999999999995</v>
      </c>
      <c r="M59" s="2">
        <f t="shared" si="23"/>
        <v>-5.5691999999999995</v>
      </c>
      <c r="N59" s="2">
        <f t="shared" si="23"/>
        <v>-5.6210000000000004</v>
      </c>
      <c r="O59" s="2">
        <f t="shared" si="12"/>
        <v>4.3300000000000036</v>
      </c>
      <c r="P59" s="3"/>
    </row>
    <row r="60" spans="2:16">
      <c r="B60" s="1" t="s">
        <v>29</v>
      </c>
      <c r="C60" s="2">
        <f t="shared" ref="C60:N60" si="24">C$23*C40</f>
        <v>0</v>
      </c>
      <c r="D60" s="2">
        <f t="shared" si="24"/>
        <v>16.130399999999998</v>
      </c>
      <c r="E60" s="2">
        <f t="shared" si="24"/>
        <v>0.3861</v>
      </c>
      <c r="F60" s="2">
        <f t="shared" si="24"/>
        <v>0.98699999999999988</v>
      </c>
      <c r="G60" s="2">
        <f t="shared" si="24"/>
        <v>0.59699999999999998</v>
      </c>
      <c r="H60" s="2">
        <f t="shared" si="24"/>
        <v>-1.2999999999999999E-2</v>
      </c>
      <c r="I60" s="2">
        <f t="shared" si="24"/>
        <v>-1.6950000000000001</v>
      </c>
      <c r="J60" s="2">
        <f t="shared" si="24"/>
        <v>-8.2599999999999993E-2</v>
      </c>
      <c r="K60" s="2">
        <f t="shared" si="24"/>
        <v>-0.64680000000000004</v>
      </c>
      <c r="L60" s="2">
        <f t="shared" si="24"/>
        <v>-4.641</v>
      </c>
      <c r="M60" s="2">
        <f t="shared" si="24"/>
        <v>-2.754</v>
      </c>
      <c r="N60" s="2">
        <f t="shared" si="24"/>
        <v>-5.6210000000000004</v>
      </c>
      <c r="O60" s="2">
        <f t="shared" si="12"/>
        <v>2.6470999999999947</v>
      </c>
      <c r="P60" s="3"/>
    </row>
    <row r="61" spans="2:16">
      <c r="B61" s="1" t="s">
        <v>26</v>
      </c>
      <c r="C61" s="2">
        <f t="shared" ref="C61:N61" si="25">C$23*C41</f>
        <v>0</v>
      </c>
      <c r="D61" s="2">
        <f t="shared" si="25"/>
        <v>7.4359999999999991</v>
      </c>
      <c r="E61" s="2">
        <f t="shared" si="25"/>
        <v>0.58629999999999993</v>
      </c>
      <c r="F61" s="2">
        <f t="shared" si="25"/>
        <v>5.0054999999999996</v>
      </c>
      <c r="G61" s="2">
        <f t="shared" si="25"/>
        <v>0</v>
      </c>
      <c r="H61" s="2">
        <f t="shared" si="25"/>
        <v>-1.5599999999999999E-2</v>
      </c>
      <c r="I61" s="2">
        <f t="shared" si="25"/>
        <v>-4.0679999999999996</v>
      </c>
      <c r="J61" s="2">
        <f t="shared" si="25"/>
        <v>-0.38349999999999995</v>
      </c>
      <c r="K61" s="2">
        <f t="shared" si="25"/>
        <v>-0.5544</v>
      </c>
      <c r="L61" s="2">
        <f t="shared" si="25"/>
        <v>-3.1850000000000001</v>
      </c>
      <c r="M61" s="2">
        <f t="shared" si="25"/>
        <v>-1.1015999999999999</v>
      </c>
      <c r="N61" s="2">
        <f t="shared" si="25"/>
        <v>-5.6210000000000004</v>
      </c>
      <c r="O61" s="2">
        <f t="shared" si="12"/>
        <v>-1.9012999999999995</v>
      </c>
      <c r="P61" s="3"/>
    </row>
    <row r="62" spans="2:16">
      <c r="B62" s="1" t="s">
        <v>22</v>
      </c>
      <c r="C62" s="46">
        <f t="shared" ref="C62:N62" si="26">C$23*C42</f>
        <v>0</v>
      </c>
      <c r="D62" s="46">
        <f t="shared" si="26"/>
        <v>0</v>
      </c>
      <c r="E62" s="46">
        <f t="shared" si="26"/>
        <v>0</v>
      </c>
      <c r="F62" s="46">
        <f t="shared" si="26"/>
        <v>0</v>
      </c>
      <c r="G62" s="46">
        <f t="shared" si="26"/>
        <v>0</v>
      </c>
      <c r="H62" s="46">
        <f t="shared" si="26"/>
        <v>0</v>
      </c>
      <c r="I62" s="46">
        <f t="shared" si="26"/>
        <v>0</v>
      </c>
      <c r="J62" s="46">
        <f t="shared" si="26"/>
        <v>0</v>
      </c>
      <c r="K62" s="46">
        <f t="shared" si="26"/>
        <v>0</v>
      </c>
      <c r="L62" s="46">
        <f t="shared" si="26"/>
        <v>0</v>
      </c>
      <c r="M62" s="46">
        <f t="shared" si="26"/>
        <v>0</v>
      </c>
      <c r="N62" s="46">
        <f t="shared" si="26"/>
        <v>0</v>
      </c>
      <c r="O62" s="46">
        <f t="shared" si="12"/>
        <v>0</v>
      </c>
      <c r="P62" s="3"/>
    </row>
    <row r="63" spans="2:16">
      <c r="B63" s="1" t="s">
        <v>30</v>
      </c>
      <c r="C63" s="46">
        <f t="shared" ref="C63:N63" si="27">C$23*C43</f>
        <v>0</v>
      </c>
      <c r="D63" s="46">
        <f t="shared" si="27"/>
        <v>0</v>
      </c>
      <c r="E63" s="46">
        <f t="shared" si="27"/>
        <v>0</v>
      </c>
      <c r="F63" s="46">
        <f t="shared" si="27"/>
        <v>0</v>
      </c>
      <c r="G63" s="46">
        <f t="shared" si="27"/>
        <v>0</v>
      </c>
      <c r="H63" s="46">
        <f t="shared" si="27"/>
        <v>0</v>
      </c>
      <c r="I63" s="46">
        <f t="shared" si="27"/>
        <v>0</v>
      </c>
      <c r="J63" s="46">
        <f t="shared" si="27"/>
        <v>0</v>
      </c>
      <c r="K63" s="46">
        <f t="shared" si="27"/>
        <v>0</v>
      </c>
      <c r="L63" s="46">
        <f t="shared" si="27"/>
        <v>0</v>
      </c>
      <c r="M63" s="46">
        <f t="shared" si="27"/>
        <v>0</v>
      </c>
      <c r="N63" s="46">
        <f t="shared" si="27"/>
        <v>0</v>
      </c>
      <c r="O63" s="46">
        <f t="shared" si="12"/>
        <v>0</v>
      </c>
      <c r="P63" s="3"/>
    </row>
    <row r="64" spans="2:16">
      <c r="B64" s="15" t="s">
        <v>23</v>
      </c>
      <c r="C64" s="47">
        <f t="shared" ref="C64:N64" si="28">C$23*C44</f>
        <v>0</v>
      </c>
      <c r="D64" s="47">
        <f t="shared" si="28"/>
        <v>0</v>
      </c>
      <c r="E64" s="47">
        <f t="shared" si="28"/>
        <v>0</v>
      </c>
      <c r="F64" s="47">
        <f t="shared" si="28"/>
        <v>0</v>
      </c>
      <c r="G64" s="47">
        <f t="shared" si="28"/>
        <v>0</v>
      </c>
      <c r="H64" s="47">
        <f t="shared" si="28"/>
        <v>0</v>
      </c>
      <c r="I64" s="47">
        <f t="shared" si="28"/>
        <v>0</v>
      </c>
      <c r="J64" s="47">
        <f t="shared" si="28"/>
        <v>0</v>
      </c>
      <c r="K64" s="47">
        <f t="shared" si="28"/>
        <v>0</v>
      </c>
      <c r="L64" s="47">
        <f t="shared" si="28"/>
        <v>0</v>
      </c>
      <c r="M64" s="47">
        <f t="shared" si="28"/>
        <v>0</v>
      </c>
      <c r="N64" s="47">
        <f t="shared" si="28"/>
        <v>0</v>
      </c>
      <c r="O64" s="47">
        <f t="shared" si="12"/>
        <v>0</v>
      </c>
    </row>
    <row r="66" spans="2:15" ht="17.25">
      <c r="B66" s="14" t="s">
        <v>60</v>
      </c>
    </row>
    <row r="67" spans="2:15">
      <c r="B67" s="12" t="s">
        <v>1</v>
      </c>
      <c r="C67" s="12" t="s">
        <v>43</v>
      </c>
      <c r="D67" s="12" t="s">
        <v>44</v>
      </c>
      <c r="E67" s="12" t="s">
        <v>45</v>
      </c>
      <c r="F67" s="12" t="s">
        <v>46</v>
      </c>
      <c r="G67" s="12" t="s">
        <v>47</v>
      </c>
      <c r="H67" s="12" t="s">
        <v>48</v>
      </c>
      <c r="I67" s="12" t="s">
        <v>49</v>
      </c>
      <c r="J67" s="12" t="s">
        <v>50</v>
      </c>
      <c r="K67" s="12" t="s">
        <v>51</v>
      </c>
      <c r="L67" s="12" t="s">
        <v>52</v>
      </c>
      <c r="M67" s="12" t="s">
        <v>53</v>
      </c>
      <c r="N67" s="12" t="s">
        <v>54</v>
      </c>
      <c r="O67" s="12" t="s">
        <v>61</v>
      </c>
    </row>
    <row r="68" spans="2:15">
      <c r="B68" s="1" t="s">
        <v>8</v>
      </c>
      <c r="C68" s="2">
        <f t="shared" ref="C68:N68" si="29">C$24*C28</f>
        <v>1.9239999999999999</v>
      </c>
      <c r="D68" s="2">
        <f t="shared" si="29"/>
        <v>0.83300000000000007</v>
      </c>
      <c r="E68" s="2">
        <f t="shared" si="29"/>
        <v>1.9943000000000002</v>
      </c>
      <c r="F68" s="2">
        <f t="shared" si="29"/>
        <v>0.36480000000000001</v>
      </c>
      <c r="G68" s="2">
        <f t="shared" si="29"/>
        <v>1.694</v>
      </c>
      <c r="H68" s="2">
        <f t="shared" si="29"/>
        <v>1.5323000000000002</v>
      </c>
      <c r="I68" s="2">
        <f t="shared" si="29"/>
        <v>-1.2236</v>
      </c>
      <c r="J68" s="2">
        <f t="shared" si="29"/>
        <v>0.62749999999999995</v>
      </c>
      <c r="K68" s="2">
        <f t="shared" si="29"/>
        <v>0.17050000000000001</v>
      </c>
      <c r="L68" s="2">
        <f t="shared" si="29"/>
        <v>-1.7954000000000001</v>
      </c>
      <c r="M68" s="2">
        <f t="shared" si="29"/>
        <v>-0.67620000000000013</v>
      </c>
      <c r="N68" s="2">
        <f t="shared" si="29"/>
        <v>-3.5209999999999999</v>
      </c>
      <c r="O68" s="2">
        <f>SUM(C68:N68)</f>
        <v>1.9242000000000017</v>
      </c>
    </row>
    <row r="69" spans="2:15">
      <c r="B69" s="1" t="s">
        <v>27</v>
      </c>
      <c r="C69" s="2">
        <f t="shared" ref="C69:N69" si="30">C$24*C29</f>
        <v>9.9380165289256181E-2</v>
      </c>
      <c r="D69" s="2">
        <f t="shared" si="30"/>
        <v>1.0878000000000001</v>
      </c>
      <c r="E69" s="2">
        <f t="shared" si="30"/>
        <v>0.95830000000000004</v>
      </c>
      <c r="F69" s="2">
        <f t="shared" si="30"/>
        <v>0.94080000000000008</v>
      </c>
      <c r="G69" s="2">
        <f t="shared" si="30"/>
        <v>1.694</v>
      </c>
      <c r="H69" s="2">
        <f t="shared" si="30"/>
        <v>0.69650000000000001</v>
      </c>
      <c r="I69" s="2">
        <f t="shared" si="30"/>
        <v>-2.7094</v>
      </c>
      <c r="J69" s="2">
        <f t="shared" si="30"/>
        <v>0.92870000000000008</v>
      </c>
      <c r="K69" s="2">
        <f t="shared" si="30"/>
        <v>0.23100000000000001</v>
      </c>
      <c r="L69" s="2">
        <f t="shared" si="30"/>
        <v>-1.4325000000000001</v>
      </c>
      <c r="M69" s="2">
        <f t="shared" si="30"/>
        <v>-1.0488</v>
      </c>
      <c r="N69" s="2">
        <f t="shared" si="30"/>
        <v>-3.5209999999999999</v>
      </c>
      <c r="O69" s="2">
        <f t="shared" ref="O69:O84" si="31">SUM(C69:N69)</f>
        <v>-2.0752198347107433</v>
      </c>
    </row>
    <row r="70" spans="2:15">
      <c r="B70" s="1" t="s">
        <v>20</v>
      </c>
      <c r="C70" s="2">
        <f t="shared" ref="C70:N70" si="32">C$24*C30</f>
        <v>1.2879669421487605</v>
      </c>
      <c r="D70" s="2">
        <f t="shared" si="32"/>
        <v>1.3915999999999999</v>
      </c>
      <c r="E70" s="2">
        <f t="shared" si="32"/>
        <v>1.3986000000000001</v>
      </c>
      <c r="F70" s="2">
        <f t="shared" si="32"/>
        <v>1.1712</v>
      </c>
      <c r="G70" s="2">
        <f t="shared" si="32"/>
        <v>2.3715999999999999</v>
      </c>
      <c r="H70" s="2">
        <f t="shared" si="32"/>
        <v>0.55720000000000003</v>
      </c>
      <c r="I70" s="2">
        <f t="shared" si="32"/>
        <v>-2.3598000000000003</v>
      </c>
      <c r="J70" s="2">
        <f t="shared" si="32"/>
        <v>0.70279999999999998</v>
      </c>
      <c r="K70" s="2">
        <f t="shared" si="32"/>
        <v>0.33549999999999996</v>
      </c>
      <c r="L70" s="2">
        <f t="shared" si="32"/>
        <v>-1.8909</v>
      </c>
      <c r="M70" s="2">
        <f t="shared" si="32"/>
        <v>-1.4904000000000002</v>
      </c>
      <c r="N70" s="2">
        <f t="shared" si="32"/>
        <v>-3.5209999999999999</v>
      </c>
      <c r="O70" s="2">
        <f t="shared" si="31"/>
        <v>-4.5633057851240721E-2</v>
      </c>
    </row>
    <row r="71" spans="2:15">
      <c r="B71" s="1" t="s">
        <v>17</v>
      </c>
      <c r="C71" s="2">
        <f t="shared" ref="C71:N71" si="33">C$24*C31</f>
        <v>0.67180991735537199</v>
      </c>
      <c r="D71" s="2">
        <f t="shared" si="33"/>
        <v>0.49979999999999997</v>
      </c>
      <c r="E71" s="2">
        <f t="shared" si="33"/>
        <v>3.4965000000000002</v>
      </c>
      <c r="F71" s="2">
        <f t="shared" si="33"/>
        <v>0.74880000000000002</v>
      </c>
      <c r="G71" s="2">
        <f t="shared" si="33"/>
        <v>1.1858</v>
      </c>
      <c r="H71" s="2">
        <f t="shared" si="33"/>
        <v>1.1144000000000001</v>
      </c>
      <c r="I71" s="2">
        <f t="shared" si="33"/>
        <v>-1.3109999999999999</v>
      </c>
      <c r="J71" s="2">
        <f t="shared" si="33"/>
        <v>1.004</v>
      </c>
      <c r="K71" s="2">
        <f t="shared" si="33"/>
        <v>7.6999999999999999E-2</v>
      </c>
      <c r="L71" s="2">
        <f t="shared" si="33"/>
        <v>-1.3560999999999999</v>
      </c>
      <c r="M71" s="2">
        <f t="shared" si="33"/>
        <v>0</v>
      </c>
      <c r="N71" s="2">
        <f t="shared" si="33"/>
        <v>-3.5209999999999999</v>
      </c>
      <c r="O71" s="2">
        <f t="shared" si="31"/>
        <v>2.6100099173553728</v>
      </c>
    </row>
    <row r="72" spans="2:15">
      <c r="B72" s="1" t="s">
        <v>24</v>
      </c>
      <c r="C72" s="2">
        <f t="shared" ref="C72:N72" si="34">C$24*C32</f>
        <v>4.796675900277008E-2</v>
      </c>
      <c r="D72" s="2">
        <f t="shared" si="34"/>
        <v>0.48510000000000003</v>
      </c>
      <c r="E72" s="2">
        <f t="shared" si="34"/>
        <v>1.6316999999999999</v>
      </c>
      <c r="F72" s="2">
        <f t="shared" si="34"/>
        <v>0.63359999999999994</v>
      </c>
      <c r="G72" s="2">
        <f t="shared" si="34"/>
        <v>2.7103999999999999</v>
      </c>
      <c r="H72" s="2">
        <f t="shared" si="34"/>
        <v>0.83579999999999999</v>
      </c>
      <c r="I72" s="2">
        <f t="shared" si="34"/>
        <v>-1.0488</v>
      </c>
      <c r="J72" s="2">
        <f t="shared" si="34"/>
        <v>0.82829999999999993</v>
      </c>
      <c r="K72" s="2">
        <f t="shared" si="34"/>
        <v>4.9500000000000002E-2</v>
      </c>
      <c r="L72" s="2">
        <f t="shared" si="34"/>
        <v>-0.55389999999999995</v>
      </c>
      <c r="M72" s="2">
        <f t="shared" si="34"/>
        <v>-0.63480000000000003</v>
      </c>
      <c r="N72" s="2">
        <f t="shared" si="34"/>
        <v>-3.5209999999999999</v>
      </c>
      <c r="O72" s="2">
        <f t="shared" si="31"/>
        <v>1.4638667590027694</v>
      </c>
    </row>
    <row r="73" spans="2:15">
      <c r="B73" s="1" t="s">
        <v>10</v>
      </c>
      <c r="C73" s="2">
        <f t="shared" ref="C73:N73" si="35">C$24*C33</f>
        <v>1.9239999999999999</v>
      </c>
      <c r="D73" s="2">
        <f t="shared" si="35"/>
        <v>0.441</v>
      </c>
      <c r="E73" s="2">
        <f t="shared" si="35"/>
        <v>2.0979000000000001</v>
      </c>
      <c r="F73" s="2">
        <f t="shared" si="35"/>
        <v>1.3632</v>
      </c>
      <c r="G73" s="2">
        <f t="shared" si="35"/>
        <v>2.2021999999999999</v>
      </c>
      <c r="H73" s="2">
        <f t="shared" si="35"/>
        <v>1.5323000000000002</v>
      </c>
      <c r="I73" s="2">
        <f t="shared" si="35"/>
        <v>-2.6219999999999999</v>
      </c>
      <c r="J73" s="2">
        <f t="shared" si="35"/>
        <v>1.1294999999999999</v>
      </c>
      <c r="K73" s="2">
        <f t="shared" si="35"/>
        <v>0.13200000000000001</v>
      </c>
      <c r="L73" s="2">
        <f t="shared" si="35"/>
        <v>-1.0314000000000001</v>
      </c>
      <c r="M73" s="2">
        <f t="shared" si="35"/>
        <v>-0.27600000000000002</v>
      </c>
      <c r="N73" s="2">
        <f t="shared" si="35"/>
        <v>-3.5209999999999999</v>
      </c>
      <c r="O73" s="2">
        <f t="shared" si="31"/>
        <v>3.3717000000000015</v>
      </c>
    </row>
    <row r="74" spans="2:15">
      <c r="B74" s="1" t="s">
        <v>13</v>
      </c>
      <c r="C74" s="2">
        <f t="shared" ref="C74:N74" si="36">C$24*C34</f>
        <v>0</v>
      </c>
      <c r="D74" s="2">
        <f t="shared" si="36"/>
        <v>0.45570000000000005</v>
      </c>
      <c r="E74" s="2">
        <f t="shared" si="36"/>
        <v>1.9425000000000001</v>
      </c>
      <c r="F74" s="2">
        <f t="shared" si="36"/>
        <v>0.38400000000000001</v>
      </c>
      <c r="G74" s="2">
        <f t="shared" si="36"/>
        <v>0.50819999999999999</v>
      </c>
      <c r="H74" s="2">
        <f t="shared" si="36"/>
        <v>0</v>
      </c>
      <c r="I74" s="2">
        <f t="shared" si="36"/>
        <v>-1.4858</v>
      </c>
      <c r="J74" s="2">
        <f t="shared" si="36"/>
        <v>0.57729999999999992</v>
      </c>
      <c r="K74" s="2">
        <f t="shared" si="36"/>
        <v>4.9500000000000002E-2</v>
      </c>
      <c r="L74" s="2">
        <f t="shared" si="36"/>
        <v>-0.99320000000000008</v>
      </c>
      <c r="M74" s="2">
        <f t="shared" si="36"/>
        <v>-0.63480000000000003</v>
      </c>
      <c r="N74" s="2">
        <f t="shared" si="36"/>
        <v>-3.5209999999999999</v>
      </c>
      <c r="O74" s="2">
        <f t="shared" si="31"/>
        <v>-2.7176</v>
      </c>
    </row>
    <row r="75" spans="2:15">
      <c r="B75" s="1" t="s">
        <v>15</v>
      </c>
      <c r="C75" s="2">
        <f t="shared" ref="C75:N75" si="37">C$24*C35</f>
        <v>5.344444444444444E-2</v>
      </c>
      <c r="D75" s="2">
        <f t="shared" si="37"/>
        <v>0.67620000000000002</v>
      </c>
      <c r="E75" s="2">
        <f t="shared" si="37"/>
        <v>1.7094</v>
      </c>
      <c r="F75" s="2">
        <f t="shared" si="37"/>
        <v>0.53759999999999997</v>
      </c>
      <c r="G75" s="2">
        <f t="shared" si="37"/>
        <v>4.2349999999999994</v>
      </c>
      <c r="H75" s="2">
        <f t="shared" si="37"/>
        <v>1.6716</v>
      </c>
      <c r="I75" s="2">
        <f t="shared" si="37"/>
        <v>-0.96140000000000003</v>
      </c>
      <c r="J75" s="2">
        <f t="shared" si="37"/>
        <v>1.0290999999999999</v>
      </c>
      <c r="K75" s="2">
        <f t="shared" si="37"/>
        <v>0.17600000000000002</v>
      </c>
      <c r="L75" s="2">
        <f t="shared" si="37"/>
        <v>-0.97409999999999997</v>
      </c>
      <c r="M75" s="2">
        <f t="shared" si="37"/>
        <v>-0.37260000000000004</v>
      </c>
      <c r="N75" s="2">
        <f t="shared" si="37"/>
        <v>-3.5209999999999999</v>
      </c>
      <c r="O75" s="2">
        <f t="shared" si="31"/>
        <v>4.2592444444444437</v>
      </c>
    </row>
    <row r="76" spans="2:15">
      <c r="B76" s="1" t="s">
        <v>11</v>
      </c>
      <c r="C76" s="2">
        <f t="shared" ref="C76:N76" si="38">C$24*C36</f>
        <v>6.7640624999999996E-2</v>
      </c>
      <c r="D76" s="2">
        <f t="shared" si="38"/>
        <v>1.0632999999999999</v>
      </c>
      <c r="E76" s="2">
        <f t="shared" si="38"/>
        <v>1.8130000000000002</v>
      </c>
      <c r="F76" s="2">
        <f t="shared" si="38"/>
        <v>0.4032</v>
      </c>
      <c r="G76" s="2">
        <f t="shared" si="38"/>
        <v>1.3552</v>
      </c>
      <c r="H76" s="2">
        <f t="shared" si="38"/>
        <v>0.69650000000000001</v>
      </c>
      <c r="I76" s="2">
        <f t="shared" si="38"/>
        <v>-2.5345999999999997</v>
      </c>
      <c r="J76" s="2">
        <f t="shared" si="38"/>
        <v>0.72789999999999999</v>
      </c>
      <c r="K76" s="2">
        <f t="shared" si="38"/>
        <v>0.374</v>
      </c>
      <c r="L76" s="2">
        <f t="shared" si="38"/>
        <v>-2.3493000000000004</v>
      </c>
      <c r="M76" s="2">
        <f t="shared" si="38"/>
        <v>-0.46920000000000001</v>
      </c>
      <c r="N76" s="2">
        <f t="shared" si="38"/>
        <v>-3.5209999999999999</v>
      </c>
      <c r="O76" s="2">
        <f t="shared" si="31"/>
        <v>-2.3733593749999997</v>
      </c>
    </row>
    <row r="77" spans="2:15">
      <c r="B77" s="1" t="s">
        <v>19</v>
      </c>
      <c r="C77" s="2">
        <f t="shared" ref="C77:N77" si="39">C$24*C37</f>
        <v>0</v>
      </c>
      <c r="D77" s="2">
        <f t="shared" si="39"/>
        <v>0.50470000000000004</v>
      </c>
      <c r="E77" s="2">
        <f t="shared" si="39"/>
        <v>1.9166000000000001</v>
      </c>
      <c r="F77" s="2">
        <f t="shared" si="39"/>
        <v>0.7871999999999999</v>
      </c>
      <c r="G77" s="2">
        <f t="shared" si="39"/>
        <v>1.694</v>
      </c>
      <c r="H77" s="2">
        <f t="shared" si="39"/>
        <v>0.69650000000000001</v>
      </c>
      <c r="I77" s="2">
        <f t="shared" si="39"/>
        <v>-1.4858</v>
      </c>
      <c r="J77" s="2">
        <f t="shared" si="39"/>
        <v>1.2549999999999999</v>
      </c>
      <c r="K77" s="2">
        <f t="shared" si="39"/>
        <v>9.35E-2</v>
      </c>
      <c r="L77" s="2">
        <f t="shared" si="39"/>
        <v>-1.1842000000000001</v>
      </c>
      <c r="M77" s="2">
        <f t="shared" si="39"/>
        <v>-0.26219999999999999</v>
      </c>
      <c r="N77" s="2">
        <f t="shared" si="39"/>
        <v>-3.5209999999999999</v>
      </c>
      <c r="O77" s="2">
        <f t="shared" si="31"/>
        <v>0.49429999999999996</v>
      </c>
    </row>
    <row r="78" spans="2:15">
      <c r="B78" s="1" t="s">
        <v>12</v>
      </c>
      <c r="C78" s="2">
        <f t="shared" ref="C78:N78" si="40">C$24*C38</f>
        <v>0</v>
      </c>
      <c r="D78" s="2">
        <f t="shared" si="40"/>
        <v>0.39689999999999998</v>
      </c>
      <c r="E78" s="2">
        <f t="shared" si="40"/>
        <v>1.8907</v>
      </c>
      <c r="F78" s="2">
        <f t="shared" si="40"/>
        <v>1.1328</v>
      </c>
      <c r="G78" s="2">
        <f t="shared" si="40"/>
        <v>2.5409999999999999</v>
      </c>
      <c r="H78" s="2">
        <f t="shared" si="40"/>
        <v>0.97509999999999997</v>
      </c>
      <c r="I78" s="2">
        <f t="shared" si="40"/>
        <v>-5.1566000000000001</v>
      </c>
      <c r="J78" s="2">
        <f t="shared" si="40"/>
        <v>0.55220000000000002</v>
      </c>
      <c r="K78" s="2">
        <f t="shared" si="40"/>
        <v>0.12100000000000001</v>
      </c>
      <c r="L78" s="2">
        <f t="shared" si="40"/>
        <v>-0.70669999999999999</v>
      </c>
      <c r="M78" s="2">
        <f t="shared" si="40"/>
        <v>-0.51060000000000005</v>
      </c>
      <c r="N78" s="2">
        <f t="shared" si="40"/>
        <v>-3.5209999999999999</v>
      </c>
      <c r="O78" s="2">
        <f t="shared" si="31"/>
        <v>-2.2852000000000006</v>
      </c>
    </row>
    <row r="79" spans="2:15">
      <c r="B79" s="1" t="s">
        <v>16</v>
      </c>
      <c r="C79" s="2">
        <f t="shared" ref="C79:N79" si="41">C$24*C39</f>
        <v>1.9239999999999999</v>
      </c>
      <c r="D79" s="2">
        <f t="shared" si="41"/>
        <v>0.93100000000000005</v>
      </c>
      <c r="E79" s="2">
        <f t="shared" si="41"/>
        <v>1.0101</v>
      </c>
      <c r="F79" s="2">
        <f t="shared" si="41"/>
        <v>0.44159999999999999</v>
      </c>
      <c r="G79" s="2">
        <f t="shared" si="41"/>
        <v>1.8634000000000002</v>
      </c>
      <c r="H79" s="2">
        <f t="shared" si="41"/>
        <v>0.97509999999999997</v>
      </c>
      <c r="I79" s="2">
        <f t="shared" si="41"/>
        <v>-1.1362000000000001</v>
      </c>
      <c r="J79" s="2">
        <f t="shared" si="41"/>
        <v>0.52710000000000001</v>
      </c>
      <c r="K79" s="2">
        <f t="shared" si="41"/>
        <v>7.6999999999999999E-2</v>
      </c>
      <c r="L79" s="2">
        <f t="shared" si="41"/>
        <v>-1.4516</v>
      </c>
      <c r="M79" s="2">
        <f t="shared" si="41"/>
        <v>-1.2558</v>
      </c>
      <c r="N79" s="2">
        <f t="shared" si="41"/>
        <v>-3.5209999999999999</v>
      </c>
      <c r="O79" s="2">
        <f t="shared" si="31"/>
        <v>0.38470000000000049</v>
      </c>
    </row>
    <row r="80" spans="2:15">
      <c r="B80" s="1" t="s">
        <v>29</v>
      </c>
      <c r="C80" s="2">
        <f t="shared" ref="C80:N80" si="42">C$24*C40</f>
        <v>0</v>
      </c>
      <c r="D80" s="2">
        <f t="shared" si="42"/>
        <v>0.69089999999999996</v>
      </c>
      <c r="E80" s="2">
        <f t="shared" si="42"/>
        <v>0.69930000000000003</v>
      </c>
      <c r="F80" s="2">
        <f t="shared" si="42"/>
        <v>0.26879999999999998</v>
      </c>
      <c r="G80" s="2">
        <f t="shared" si="42"/>
        <v>1.694</v>
      </c>
      <c r="H80" s="2">
        <f t="shared" si="42"/>
        <v>1.393</v>
      </c>
      <c r="I80" s="2">
        <f t="shared" si="42"/>
        <v>-0.874</v>
      </c>
      <c r="J80" s="2">
        <f t="shared" si="42"/>
        <v>0.35139999999999999</v>
      </c>
      <c r="K80" s="2">
        <f t="shared" si="42"/>
        <v>0.11550000000000001</v>
      </c>
      <c r="L80" s="2">
        <f t="shared" si="42"/>
        <v>-0.97409999999999997</v>
      </c>
      <c r="M80" s="2">
        <f t="shared" si="42"/>
        <v>-0.621</v>
      </c>
      <c r="N80" s="2">
        <f t="shared" si="42"/>
        <v>-3.5209999999999999</v>
      </c>
      <c r="O80" s="2">
        <f t="shared" si="31"/>
        <v>-0.77720000000000011</v>
      </c>
    </row>
    <row r="81" spans="2:15">
      <c r="B81" s="1" t="s">
        <v>26</v>
      </c>
      <c r="C81" s="2">
        <f t="shared" ref="C81:N81" si="43">C$24*C41</f>
        <v>0</v>
      </c>
      <c r="D81" s="2">
        <f t="shared" si="43"/>
        <v>0.31850000000000001</v>
      </c>
      <c r="E81" s="2">
        <f t="shared" si="43"/>
        <v>1.0618999999999998</v>
      </c>
      <c r="F81" s="2">
        <f t="shared" si="43"/>
        <v>1.3632</v>
      </c>
      <c r="G81" s="2">
        <f t="shared" si="43"/>
        <v>0</v>
      </c>
      <c r="H81" s="2">
        <f t="shared" si="43"/>
        <v>1.6716</v>
      </c>
      <c r="I81" s="2">
        <f t="shared" si="43"/>
        <v>-2.0975999999999999</v>
      </c>
      <c r="J81" s="2">
        <f t="shared" si="43"/>
        <v>1.6315</v>
      </c>
      <c r="K81" s="2">
        <f t="shared" si="43"/>
        <v>9.9000000000000005E-2</v>
      </c>
      <c r="L81" s="2">
        <f t="shared" si="43"/>
        <v>-0.66849999999999998</v>
      </c>
      <c r="M81" s="2">
        <f t="shared" si="43"/>
        <v>-0.24840000000000004</v>
      </c>
      <c r="N81" s="2">
        <f t="shared" si="43"/>
        <v>-3.5209999999999999</v>
      </c>
      <c r="O81" s="2">
        <f t="shared" si="31"/>
        <v>-0.38980000000000015</v>
      </c>
    </row>
    <row r="82" spans="2:15">
      <c r="B82" s="1" t="s">
        <v>22</v>
      </c>
      <c r="C82" s="46">
        <f t="shared" ref="C82:N82" si="44">C$24*C42</f>
        <v>0</v>
      </c>
      <c r="D82" s="46">
        <f t="shared" si="44"/>
        <v>0</v>
      </c>
      <c r="E82" s="46">
        <f t="shared" si="44"/>
        <v>0</v>
      </c>
      <c r="F82" s="46">
        <f t="shared" si="44"/>
        <v>0</v>
      </c>
      <c r="G82" s="46">
        <f t="shared" si="44"/>
        <v>0</v>
      </c>
      <c r="H82" s="46">
        <f t="shared" si="44"/>
        <v>0</v>
      </c>
      <c r="I82" s="46">
        <f t="shared" si="44"/>
        <v>0</v>
      </c>
      <c r="J82" s="46">
        <f t="shared" si="44"/>
        <v>0</v>
      </c>
      <c r="K82" s="46">
        <f t="shared" si="44"/>
        <v>0</v>
      </c>
      <c r="L82" s="46">
        <f t="shared" si="44"/>
        <v>0</v>
      </c>
      <c r="M82" s="46">
        <f t="shared" si="44"/>
        <v>0</v>
      </c>
      <c r="N82" s="46">
        <f t="shared" si="44"/>
        <v>0</v>
      </c>
      <c r="O82" s="46">
        <f t="shared" si="31"/>
        <v>0</v>
      </c>
    </row>
    <row r="83" spans="2:15">
      <c r="B83" s="1" t="s">
        <v>30</v>
      </c>
      <c r="C83" s="46">
        <f t="shared" ref="C83:N83" si="45">C$24*C43</f>
        <v>0</v>
      </c>
      <c r="D83" s="46">
        <f t="shared" si="45"/>
        <v>0</v>
      </c>
      <c r="E83" s="46">
        <f t="shared" si="45"/>
        <v>0</v>
      </c>
      <c r="F83" s="46">
        <f t="shared" si="45"/>
        <v>0</v>
      </c>
      <c r="G83" s="46">
        <f t="shared" si="45"/>
        <v>0</v>
      </c>
      <c r="H83" s="46">
        <f t="shared" si="45"/>
        <v>0</v>
      </c>
      <c r="I83" s="46">
        <f t="shared" si="45"/>
        <v>0</v>
      </c>
      <c r="J83" s="46">
        <f t="shared" si="45"/>
        <v>0</v>
      </c>
      <c r="K83" s="46">
        <f t="shared" si="45"/>
        <v>0</v>
      </c>
      <c r="L83" s="46">
        <f t="shared" si="45"/>
        <v>0</v>
      </c>
      <c r="M83" s="46">
        <f t="shared" si="45"/>
        <v>0</v>
      </c>
      <c r="N83" s="46">
        <f t="shared" si="45"/>
        <v>0</v>
      </c>
      <c r="O83" s="46">
        <f t="shared" si="31"/>
        <v>0</v>
      </c>
    </row>
    <row r="84" spans="2:15">
      <c r="B84" s="15" t="s">
        <v>23</v>
      </c>
      <c r="C84" s="47">
        <f t="shared" ref="C84:N84" si="46">C$24*C44</f>
        <v>0</v>
      </c>
      <c r="D84" s="47">
        <f t="shared" si="46"/>
        <v>0</v>
      </c>
      <c r="E84" s="47">
        <f t="shared" si="46"/>
        <v>0</v>
      </c>
      <c r="F84" s="47">
        <f t="shared" si="46"/>
        <v>0</v>
      </c>
      <c r="G84" s="47">
        <f t="shared" si="46"/>
        <v>0</v>
      </c>
      <c r="H84" s="47">
        <f t="shared" si="46"/>
        <v>0</v>
      </c>
      <c r="I84" s="47">
        <f t="shared" si="46"/>
        <v>0</v>
      </c>
      <c r="J84" s="47">
        <f t="shared" si="46"/>
        <v>0</v>
      </c>
      <c r="K84" s="47">
        <f t="shared" si="46"/>
        <v>0</v>
      </c>
      <c r="L84" s="47">
        <f t="shared" si="46"/>
        <v>0</v>
      </c>
      <c r="M84" s="47">
        <f t="shared" si="46"/>
        <v>0</v>
      </c>
      <c r="N84" s="47">
        <f t="shared" si="46"/>
        <v>0</v>
      </c>
      <c r="O84" s="47">
        <f t="shared" si="31"/>
        <v>0</v>
      </c>
    </row>
    <row r="86" spans="2:15">
      <c r="B86" s="4"/>
    </row>
    <row r="87" spans="2:15" ht="17.25">
      <c r="B87" s="14" t="s">
        <v>62</v>
      </c>
    </row>
    <row r="88" spans="2:15">
      <c r="B88" s="12" t="s">
        <v>1</v>
      </c>
      <c r="C88" s="12" t="s">
        <v>63</v>
      </c>
      <c r="D88" s="12" t="s">
        <v>64</v>
      </c>
      <c r="E88" s="12" t="s">
        <v>65</v>
      </c>
      <c r="F88" s="12" t="s">
        <v>66</v>
      </c>
      <c r="G88" s="12" t="s">
        <v>67</v>
      </c>
      <c r="H88" s="12" t="s">
        <v>68</v>
      </c>
      <c r="I88" s="12" t="s">
        <v>69</v>
      </c>
      <c r="J88" s="12" t="s">
        <v>70</v>
      </c>
      <c r="K88" s="12" t="s">
        <v>71</v>
      </c>
      <c r="L88" s="12" t="s">
        <v>67</v>
      </c>
    </row>
    <row r="89" spans="2:15">
      <c r="B89" s="1" t="s">
        <v>8</v>
      </c>
      <c r="C89" s="37">
        <v>9.4</v>
      </c>
      <c r="D89" s="3">
        <f t="shared" ref="D89:D102" si="47">O48</f>
        <v>2.4541999999999984</v>
      </c>
      <c r="E89" s="37">
        <v>118.5</v>
      </c>
      <c r="F89" s="3">
        <f t="shared" ref="F89:F102" si="48">E89-$C$107</f>
        <v>6.5</v>
      </c>
      <c r="G89" s="1">
        <v>1</v>
      </c>
      <c r="H89" s="37">
        <v>3.8</v>
      </c>
      <c r="I89" s="3">
        <f t="shared" ref="I89:I102" si="49">O68</f>
        <v>1.9242000000000017</v>
      </c>
      <c r="J89" s="37">
        <v>109.5</v>
      </c>
      <c r="K89" s="3">
        <f t="shared" ref="K89:K102" si="50">$C$108-J89</f>
        <v>2.5</v>
      </c>
      <c r="L89" s="1">
        <v>1</v>
      </c>
    </row>
    <row r="90" spans="2:15">
      <c r="B90" s="1" t="s">
        <v>27</v>
      </c>
      <c r="C90" s="37">
        <v>-1.8</v>
      </c>
      <c r="D90" s="3">
        <f t="shared" si="47"/>
        <v>6.1399446280991707</v>
      </c>
      <c r="E90" s="37">
        <v>115.2</v>
      </c>
      <c r="F90" s="3">
        <f t="shared" si="48"/>
        <v>3.2000000000000028</v>
      </c>
      <c r="G90" s="1">
        <v>1</v>
      </c>
      <c r="H90" s="37">
        <v>-3.6</v>
      </c>
      <c r="I90" s="3">
        <f t="shared" si="49"/>
        <v>-2.0752198347107433</v>
      </c>
      <c r="J90" s="37">
        <v>112.1</v>
      </c>
      <c r="K90" s="3">
        <f t="shared" si="50"/>
        <v>-9.9999999999994316E-2</v>
      </c>
      <c r="L90" s="1">
        <v>1</v>
      </c>
    </row>
    <row r="91" spans="2:15">
      <c r="B91" s="1" t="s">
        <v>20</v>
      </c>
      <c r="C91" s="37">
        <v>6.8</v>
      </c>
      <c r="D91" s="3">
        <f t="shared" si="47"/>
        <v>10.955874380165278</v>
      </c>
      <c r="E91" s="37">
        <v>117.7</v>
      </c>
      <c r="F91" s="3">
        <f t="shared" si="48"/>
        <v>5.7000000000000028</v>
      </c>
      <c r="G91" s="1">
        <v>1</v>
      </c>
      <c r="H91" s="37">
        <v>-0.3</v>
      </c>
      <c r="I91" s="3">
        <f t="shared" si="49"/>
        <v>-4.5633057851240721E-2</v>
      </c>
      <c r="J91" s="37">
        <v>110.6</v>
      </c>
      <c r="K91" s="3">
        <f t="shared" si="50"/>
        <v>1.4000000000000057</v>
      </c>
      <c r="L91" s="1">
        <v>1</v>
      </c>
    </row>
    <row r="92" spans="2:15">
      <c r="B92" s="1" t="s">
        <v>17</v>
      </c>
      <c r="C92" s="37">
        <v>2.5</v>
      </c>
      <c r="D92" s="3">
        <f t="shared" si="47"/>
        <v>1.6852776859504068</v>
      </c>
      <c r="E92" s="37">
        <v>117.4</v>
      </c>
      <c r="F92" s="3">
        <f t="shared" si="48"/>
        <v>5.4000000000000057</v>
      </c>
      <c r="G92" s="1">
        <v>1</v>
      </c>
      <c r="H92" s="37">
        <v>2.2000000000000002</v>
      </c>
      <c r="I92" s="3">
        <f t="shared" si="49"/>
        <v>2.6100099173553728</v>
      </c>
      <c r="J92" s="37">
        <v>109.3</v>
      </c>
      <c r="K92" s="3">
        <f t="shared" si="50"/>
        <v>2.7000000000000028</v>
      </c>
      <c r="L92" s="1">
        <v>1</v>
      </c>
    </row>
    <row r="93" spans="2:15">
      <c r="B93" s="1" t="s">
        <v>24</v>
      </c>
      <c r="C93" s="37">
        <v>10.1</v>
      </c>
      <c r="D93" s="3">
        <f t="shared" si="47"/>
        <v>1.9350562326869793</v>
      </c>
      <c r="E93" s="37">
        <v>122.5</v>
      </c>
      <c r="F93" s="3">
        <f t="shared" si="48"/>
        <v>10.5</v>
      </c>
      <c r="G93" s="1">
        <v>1</v>
      </c>
      <c r="H93" s="37">
        <v>0.5</v>
      </c>
      <c r="I93" s="3">
        <f t="shared" si="49"/>
        <v>1.4638667590027694</v>
      </c>
      <c r="J93" s="37">
        <v>110.2</v>
      </c>
      <c r="K93" s="3">
        <f t="shared" si="50"/>
        <v>1.7999999999999972</v>
      </c>
      <c r="L93" s="1">
        <v>1</v>
      </c>
    </row>
    <row r="94" spans="2:15">
      <c r="B94" s="1" t="s">
        <v>10</v>
      </c>
      <c r="C94" s="37">
        <v>4.7</v>
      </c>
      <c r="D94" s="3">
        <f t="shared" si="47"/>
        <v>4.8999999999983501E-3</v>
      </c>
      <c r="E94" s="37">
        <v>117.5</v>
      </c>
      <c r="F94" s="3">
        <f t="shared" si="48"/>
        <v>5.5</v>
      </c>
      <c r="G94" s="1">
        <v>1</v>
      </c>
      <c r="H94" s="37">
        <v>5.9</v>
      </c>
      <c r="I94" s="3">
        <f t="shared" si="49"/>
        <v>3.3717000000000015</v>
      </c>
      <c r="J94" s="37">
        <v>108.6</v>
      </c>
      <c r="K94" s="3">
        <f t="shared" si="50"/>
        <v>3.4000000000000057</v>
      </c>
      <c r="L94" s="1">
        <v>1</v>
      </c>
    </row>
    <row r="95" spans="2:15">
      <c r="B95" s="1" t="s">
        <v>13</v>
      </c>
      <c r="C95" s="37">
        <v>-15.4</v>
      </c>
      <c r="D95" s="3">
        <f t="shared" si="47"/>
        <v>-3.1618000000000013</v>
      </c>
      <c r="E95" s="37">
        <v>102.4</v>
      </c>
      <c r="F95" s="3">
        <f t="shared" si="48"/>
        <v>-9.5999999999999943</v>
      </c>
      <c r="G95" s="1">
        <v>1</v>
      </c>
      <c r="H95" s="37">
        <v>-1.1000000000000001</v>
      </c>
      <c r="I95" s="3">
        <f t="shared" si="49"/>
        <v>-2.7176</v>
      </c>
      <c r="J95" s="37">
        <v>111.5</v>
      </c>
      <c r="K95" s="3">
        <f t="shared" si="50"/>
        <v>0.5</v>
      </c>
      <c r="L95" s="1">
        <v>1</v>
      </c>
    </row>
    <row r="96" spans="2:15">
      <c r="B96" s="1" t="s">
        <v>15</v>
      </c>
      <c r="C96" s="37">
        <v>0.6</v>
      </c>
      <c r="D96" s="3">
        <f t="shared" si="47"/>
        <v>5.1930555555555529</v>
      </c>
      <c r="E96" s="37">
        <v>116.4</v>
      </c>
      <c r="F96" s="3">
        <f t="shared" si="48"/>
        <v>4.4000000000000057</v>
      </c>
      <c r="G96" s="1">
        <v>1</v>
      </c>
      <c r="H96" s="37">
        <v>11.2</v>
      </c>
      <c r="I96" s="3">
        <f t="shared" si="49"/>
        <v>4.2592444444444437</v>
      </c>
      <c r="J96" s="37">
        <v>101.5</v>
      </c>
      <c r="K96" s="3">
        <f t="shared" si="50"/>
        <v>10.5</v>
      </c>
      <c r="L96" s="1">
        <v>1</v>
      </c>
    </row>
    <row r="97" spans="2:12">
      <c r="B97" s="1" t="s">
        <v>11</v>
      </c>
      <c r="C97" s="37">
        <v>-18.8</v>
      </c>
      <c r="D97" s="3">
        <f t="shared" si="47"/>
        <v>1.7238187499999977</v>
      </c>
      <c r="E97" s="37">
        <v>99.7</v>
      </c>
      <c r="F97" s="3">
        <f t="shared" si="48"/>
        <v>-12.299999999999997</v>
      </c>
      <c r="G97" s="1">
        <v>1</v>
      </c>
      <c r="H97" s="37">
        <v>-0.1</v>
      </c>
      <c r="I97" s="3">
        <f t="shared" si="49"/>
        <v>-2.3733593749999997</v>
      </c>
      <c r="J97" s="37">
        <v>110.6</v>
      </c>
      <c r="K97" s="3">
        <f t="shared" si="50"/>
        <v>1.4000000000000057</v>
      </c>
      <c r="L97" s="1">
        <v>1</v>
      </c>
    </row>
    <row r="98" spans="2:12">
      <c r="B98" s="1" t="s">
        <v>19</v>
      </c>
      <c r="C98" s="37">
        <v>-11.1</v>
      </c>
      <c r="D98" s="3">
        <f t="shared" si="47"/>
        <v>0.19649999999999856</v>
      </c>
      <c r="E98" s="37">
        <v>106.4</v>
      </c>
      <c r="F98" s="3">
        <f t="shared" si="48"/>
        <v>-5.5999999999999943</v>
      </c>
      <c r="G98" s="1">
        <v>1</v>
      </c>
      <c r="H98" s="37">
        <v>-2.2999999999999998</v>
      </c>
      <c r="I98" s="3">
        <f t="shared" si="49"/>
        <v>0.49429999999999996</v>
      </c>
      <c r="J98" s="37">
        <v>112.5</v>
      </c>
      <c r="K98" s="3">
        <f t="shared" si="50"/>
        <v>-0.5</v>
      </c>
      <c r="L98" s="1">
        <v>1</v>
      </c>
    </row>
    <row r="99" spans="2:12">
      <c r="B99" s="1" t="s">
        <v>12</v>
      </c>
      <c r="C99" s="37">
        <v>-29.7</v>
      </c>
      <c r="D99" s="3">
        <f t="shared" si="47"/>
        <v>-6.7041000000000022</v>
      </c>
      <c r="E99" s="37">
        <v>87.6</v>
      </c>
      <c r="F99" s="3">
        <f t="shared" si="48"/>
        <v>-24.400000000000006</v>
      </c>
      <c r="G99" s="1">
        <v>1</v>
      </c>
      <c r="H99" s="37">
        <v>1.9</v>
      </c>
      <c r="I99" s="3">
        <f t="shared" si="49"/>
        <v>-2.2852000000000006</v>
      </c>
      <c r="J99" s="37">
        <v>108.7</v>
      </c>
      <c r="K99" s="3">
        <f t="shared" si="50"/>
        <v>3.2999999999999972</v>
      </c>
      <c r="L99" s="1">
        <v>1</v>
      </c>
    </row>
    <row r="100" spans="2:12">
      <c r="B100" s="1" t="s">
        <v>16</v>
      </c>
      <c r="C100" s="37">
        <v>-2.2999999999999998</v>
      </c>
      <c r="D100" s="3">
        <f t="shared" si="47"/>
        <v>4.3300000000000036</v>
      </c>
      <c r="E100" s="37">
        <v>115.3</v>
      </c>
      <c r="F100" s="3">
        <f t="shared" si="48"/>
        <v>3.2999999999999972</v>
      </c>
      <c r="G100" s="1">
        <v>1</v>
      </c>
      <c r="H100" s="37">
        <v>-9.4</v>
      </c>
      <c r="I100" s="3">
        <f t="shared" si="49"/>
        <v>0.38470000000000049</v>
      </c>
      <c r="J100" s="37">
        <v>112.9</v>
      </c>
      <c r="K100" s="3">
        <f t="shared" si="50"/>
        <v>-0.90000000000000568</v>
      </c>
      <c r="L100" s="1">
        <v>1</v>
      </c>
    </row>
    <row r="101" spans="2:12">
      <c r="B101" s="1" t="s">
        <v>29</v>
      </c>
      <c r="C101" s="37">
        <v>1.4</v>
      </c>
      <c r="D101" s="3">
        <f t="shared" si="47"/>
        <v>2.6470999999999947</v>
      </c>
      <c r="E101" s="37">
        <v>117.2</v>
      </c>
      <c r="F101" s="3">
        <f t="shared" si="48"/>
        <v>5.2000000000000028</v>
      </c>
      <c r="G101" s="1">
        <v>1</v>
      </c>
      <c r="H101" s="37">
        <v>-6.9</v>
      </c>
      <c r="I101" s="3">
        <f t="shared" si="49"/>
        <v>-0.77720000000000011</v>
      </c>
      <c r="J101" s="37">
        <v>116.8</v>
      </c>
      <c r="K101" s="3">
        <f t="shared" si="50"/>
        <v>-4.7999999999999972</v>
      </c>
      <c r="L101" s="1">
        <v>1</v>
      </c>
    </row>
    <row r="102" spans="2:12">
      <c r="B102" s="1" t="s">
        <v>26</v>
      </c>
      <c r="C102" s="37">
        <v>-0.4</v>
      </c>
      <c r="D102" s="3">
        <f t="shared" si="47"/>
        <v>-1.9012999999999995</v>
      </c>
      <c r="E102" s="37">
        <v>115.5</v>
      </c>
      <c r="F102" s="3">
        <f t="shared" si="48"/>
        <v>3.5</v>
      </c>
      <c r="G102" s="1">
        <v>1</v>
      </c>
      <c r="H102" s="37">
        <v>-15.8</v>
      </c>
      <c r="I102" s="3">
        <f t="shared" si="49"/>
        <v>-0.38980000000000015</v>
      </c>
      <c r="J102" s="37">
        <v>125.4</v>
      </c>
      <c r="K102" s="3">
        <f t="shared" si="50"/>
        <v>-13.400000000000006</v>
      </c>
      <c r="L102" s="1">
        <v>1</v>
      </c>
    </row>
    <row r="103" spans="2:12">
      <c r="B103" s="1" t="s">
        <v>22</v>
      </c>
      <c r="C103" s="44">
        <v>0</v>
      </c>
      <c r="D103" s="46">
        <v>0</v>
      </c>
      <c r="E103" s="44">
        <v>0</v>
      </c>
      <c r="F103" s="46">
        <v>0</v>
      </c>
      <c r="G103" s="46">
        <v>0</v>
      </c>
      <c r="H103" s="44">
        <v>0</v>
      </c>
      <c r="I103" s="46">
        <v>0</v>
      </c>
      <c r="J103" s="44">
        <v>0</v>
      </c>
      <c r="K103" s="46">
        <v>0</v>
      </c>
      <c r="L103" s="46">
        <v>0</v>
      </c>
    </row>
    <row r="104" spans="2:12">
      <c r="B104" s="1" t="s">
        <v>30</v>
      </c>
      <c r="C104" s="44">
        <v>0</v>
      </c>
      <c r="D104" s="46">
        <v>0</v>
      </c>
      <c r="E104" s="44">
        <v>0</v>
      </c>
      <c r="F104" s="46">
        <v>0</v>
      </c>
      <c r="G104" s="46">
        <v>0</v>
      </c>
      <c r="H104" s="44">
        <v>0</v>
      </c>
      <c r="I104" s="46">
        <v>0</v>
      </c>
      <c r="J104" s="44">
        <v>0</v>
      </c>
      <c r="K104" s="46">
        <v>0</v>
      </c>
      <c r="L104" s="46">
        <v>0</v>
      </c>
    </row>
    <row r="105" spans="2:12">
      <c r="B105" s="15" t="s">
        <v>23</v>
      </c>
      <c r="C105" s="44">
        <v>0</v>
      </c>
      <c r="D105" s="47">
        <v>0</v>
      </c>
      <c r="E105" s="45">
        <v>0</v>
      </c>
      <c r="F105" s="47">
        <v>0</v>
      </c>
      <c r="G105" s="47">
        <v>0</v>
      </c>
      <c r="H105" s="45">
        <v>0</v>
      </c>
      <c r="I105" s="47">
        <v>0</v>
      </c>
      <c r="J105" s="45">
        <v>0</v>
      </c>
      <c r="K105" s="47">
        <v>0</v>
      </c>
      <c r="L105" s="47">
        <v>0</v>
      </c>
    </row>
    <row r="106" spans="2:12">
      <c r="C106" s="19"/>
      <c r="E106" s="19"/>
      <c r="H106" s="19"/>
      <c r="J106" s="19"/>
    </row>
    <row r="107" spans="2:12">
      <c r="B107" s="30" t="s">
        <v>72</v>
      </c>
      <c r="C107" s="23">
        <v>112</v>
      </c>
    </row>
    <row r="108" spans="2:12">
      <c r="B108" s="29" t="s">
        <v>73</v>
      </c>
      <c r="C108" s="28">
        <v>112</v>
      </c>
    </row>
    <row r="112" spans="2:12">
      <c r="B112" s="12" t="s">
        <v>42</v>
      </c>
      <c r="C112" s="12" t="s">
        <v>63</v>
      </c>
      <c r="D112" s="12" t="s">
        <v>64</v>
      </c>
      <c r="E112" s="12" t="s">
        <v>66</v>
      </c>
      <c r="F112" s="12" t="s">
        <v>67</v>
      </c>
      <c r="G112" s="12"/>
      <c r="H112" s="12"/>
      <c r="I112" s="12" t="s">
        <v>68</v>
      </c>
      <c r="J112" s="12" t="s">
        <v>69</v>
      </c>
      <c r="K112" s="12" t="s">
        <v>71</v>
      </c>
      <c r="L112" s="12" t="s">
        <v>67</v>
      </c>
    </row>
    <row r="113" spans="2:15">
      <c r="B113" s="27" t="s">
        <v>74</v>
      </c>
      <c r="C113" s="22">
        <v>0.24709999999999999</v>
      </c>
      <c r="D113" s="22">
        <v>0.47889999999999999</v>
      </c>
      <c r="E113" s="22">
        <v>0.2054</v>
      </c>
      <c r="F113" s="22">
        <v>-0.2918</v>
      </c>
      <c r="G113" s="22"/>
      <c r="H113" s="22"/>
      <c r="I113" s="22">
        <v>0.42749999999999999</v>
      </c>
      <c r="J113" s="22">
        <v>0.50309999999999999</v>
      </c>
      <c r="K113" s="27">
        <v>0.29599999999999999</v>
      </c>
      <c r="L113" s="27">
        <v>5.0000000000000001E-3</v>
      </c>
    </row>
    <row r="115" spans="2:15" ht="17.25">
      <c r="B115" s="14" t="s">
        <v>75</v>
      </c>
    </row>
    <row r="116" spans="2:15">
      <c r="B116" s="12" t="s">
        <v>1</v>
      </c>
      <c r="C116" s="12" t="s">
        <v>63</v>
      </c>
      <c r="D116" s="12" t="s">
        <v>64</v>
      </c>
      <c r="E116" s="12" t="s">
        <v>66</v>
      </c>
      <c r="F116" s="12" t="s">
        <v>67</v>
      </c>
      <c r="G116" s="12" t="s">
        <v>76</v>
      </c>
      <c r="H116" s="12"/>
      <c r="I116" s="12" t="s">
        <v>68</v>
      </c>
      <c r="J116" s="12" t="s">
        <v>69</v>
      </c>
      <c r="K116" s="12" t="s">
        <v>71</v>
      </c>
      <c r="L116" s="12" t="s">
        <v>67</v>
      </c>
      <c r="M116" s="13" t="s">
        <v>77</v>
      </c>
      <c r="N116" s="12"/>
      <c r="O116" s="12" t="s">
        <v>78</v>
      </c>
    </row>
    <row r="117" spans="2:15">
      <c r="B117" s="1" t="s">
        <v>8</v>
      </c>
      <c r="C117" s="2">
        <f t="shared" ref="C117:D133" si="51">C89*C$113</f>
        <v>2.32274</v>
      </c>
      <c r="D117" s="2">
        <f t="shared" si="51"/>
        <v>1.1753163799999993</v>
      </c>
      <c r="E117" s="2">
        <f t="shared" ref="E117:F133" si="52">F89*E$113</f>
        <v>1.3351</v>
      </c>
      <c r="F117" s="2">
        <f t="shared" si="52"/>
        <v>-0.2918</v>
      </c>
      <c r="G117" s="2">
        <f>SUM(C117:F117)</f>
        <v>4.541356379999999</v>
      </c>
      <c r="H117" s="2"/>
      <c r="I117" s="2">
        <f t="shared" ref="I117:J133" si="53">H89*I$113</f>
        <v>1.6244999999999998</v>
      </c>
      <c r="J117" s="2">
        <f t="shared" si="53"/>
        <v>0.96806502000000083</v>
      </c>
      <c r="K117" s="2">
        <f t="shared" ref="K117:L133" si="54">K89*K$113</f>
        <v>0.74</v>
      </c>
      <c r="L117" s="2">
        <f t="shared" si="54"/>
        <v>5.0000000000000001E-3</v>
      </c>
      <c r="M117" s="2">
        <f>SUM(I117:L117)</f>
        <v>3.3375650200000004</v>
      </c>
      <c r="N117" s="2"/>
      <c r="O117" s="2">
        <f t="shared" ref="O117:O133" si="55">G117+M117</f>
        <v>7.8789213999999994</v>
      </c>
    </row>
    <row r="118" spans="2:15">
      <c r="B118" s="1" t="s">
        <v>27</v>
      </c>
      <c r="C118" s="2">
        <f t="shared" si="51"/>
        <v>-0.44478000000000001</v>
      </c>
      <c r="D118" s="2">
        <f t="shared" si="51"/>
        <v>2.9404194823966927</v>
      </c>
      <c r="E118" s="2">
        <f t="shared" si="52"/>
        <v>0.65728000000000053</v>
      </c>
      <c r="F118" s="2">
        <f t="shared" si="52"/>
        <v>-0.2918</v>
      </c>
      <c r="G118" s="2">
        <f t="shared" ref="G118:G133" si="56">SUM(C118:F118)</f>
        <v>2.8611194823966932</v>
      </c>
      <c r="H118" s="2"/>
      <c r="I118" s="2">
        <f t="shared" si="53"/>
        <v>-1.5389999999999999</v>
      </c>
      <c r="J118" s="2">
        <f t="shared" si="53"/>
        <v>-1.044043098842975</v>
      </c>
      <c r="K118" s="2">
        <f t="shared" si="54"/>
        <v>-2.9599999999998315E-2</v>
      </c>
      <c r="L118" s="2">
        <f t="shared" si="54"/>
        <v>5.0000000000000001E-3</v>
      </c>
      <c r="M118" s="2">
        <f t="shared" ref="M118:M133" si="57">SUM(I118:L118)</f>
        <v>-2.6076430988429733</v>
      </c>
      <c r="N118" s="2"/>
      <c r="O118" s="2">
        <f t="shared" si="55"/>
        <v>0.25347638355371993</v>
      </c>
    </row>
    <row r="119" spans="2:15">
      <c r="B119" s="1" t="s">
        <v>20</v>
      </c>
      <c r="C119" s="2">
        <f t="shared" si="51"/>
        <v>1.6802799999999998</v>
      </c>
      <c r="D119" s="2">
        <f t="shared" si="51"/>
        <v>5.2467682406611518</v>
      </c>
      <c r="E119" s="2">
        <f t="shared" si="52"/>
        <v>1.1707800000000006</v>
      </c>
      <c r="F119" s="2">
        <f t="shared" si="52"/>
        <v>-0.2918</v>
      </c>
      <c r="G119" s="2">
        <f t="shared" si="56"/>
        <v>7.806028240661151</v>
      </c>
      <c r="H119" s="2"/>
      <c r="I119" s="2">
        <f t="shared" si="53"/>
        <v>-0.12825</v>
      </c>
      <c r="J119" s="2">
        <f t="shared" si="53"/>
        <v>-2.2957991404959206E-2</v>
      </c>
      <c r="K119" s="2">
        <f t="shared" si="54"/>
        <v>0.41440000000000166</v>
      </c>
      <c r="L119" s="2">
        <f t="shared" si="54"/>
        <v>5.0000000000000001E-3</v>
      </c>
      <c r="M119" s="2">
        <f t="shared" si="57"/>
        <v>0.26819200859504244</v>
      </c>
      <c r="N119" s="2"/>
      <c r="O119" s="2">
        <f t="shared" si="55"/>
        <v>8.074220249256193</v>
      </c>
    </row>
    <row r="120" spans="2:15">
      <c r="B120" s="1" t="s">
        <v>17</v>
      </c>
      <c r="C120" s="2">
        <f t="shared" si="51"/>
        <v>0.61775000000000002</v>
      </c>
      <c r="D120" s="2">
        <f t="shared" si="51"/>
        <v>0.80707948380164984</v>
      </c>
      <c r="E120" s="2">
        <f t="shared" si="52"/>
        <v>1.1091600000000013</v>
      </c>
      <c r="F120" s="2">
        <f t="shared" si="52"/>
        <v>-0.2918</v>
      </c>
      <c r="G120" s="2">
        <f t="shared" si="56"/>
        <v>2.2421894838016514</v>
      </c>
      <c r="H120" s="2"/>
      <c r="I120" s="2">
        <f t="shared" si="53"/>
        <v>0.9405</v>
      </c>
      <c r="J120" s="2">
        <f t="shared" si="53"/>
        <v>1.313095989421488</v>
      </c>
      <c r="K120" s="2">
        <f t="shared" si="54"/>
        <v>0.7992000000000008</v>
      </c>
      <c r="L120" s="2">
        <f t="shared" si="54"/>
        <v>5.0000000000000001E-3</v>
      </c>
      <c r="M120" s="2">
        <f t="shared" si="57"/>
        <v>3.0577959894214888</v>
      </c>
      <c r="N120" s="2"/>
      <c r="O120" s="2">
        <f t="shared" si="55"/>
        <v>5.2999854732231402</v>
      </c>
    </row>
    <row r="121" spans="2:15">
      <c r="B121" s="1" t="s">
        <v>24</v>
      </c>
      <c r="C121" s="2">
        <f t="shared" si="51"/>
        <v>2.4957099999999999</v>
      </c>
      <c r="D121" s="2">
        <f t="shared" si="51"/>
        <v>0.92669842983379436</v>
      </c>
      <c r="E121" s="2">
        <f t="shared" si="52"/>
        <v>2.1566999999999998</v>
      </c>
      <c r="F121" s="2">
        <f t="shared" si="52"/>
        <v>-0.2918</v>
      </c>
      <c r="G121" s="2">
        <f t="shared" si="56"/>
        <v>5.2873084298337938</v>
      </c>
      <c r="H121" s="2"/>
      <c r="I121" s="2">
        <f t="shared" si="53"/>
        <v>0.21375</v>
      </c>
      <c r="J121" s="2">
        <f t="shared" si="53"/>
        <v>0.73647136645429323</v>
      </c>
      <c r="K121" s="2">
        <f t="shared" si="54"/>
        <v>0.53279999999999916</v>
      </c>
      <c r="L121" s="2">
        <f t="shared" si="54"/>
        <v>5.0000000000000001E-3</v>
      </c>
      <c r="M121" s="2">
        <f t="shared" si="57"/>
        <v>1.4880213664542923</v>
      </c>
      <c r="N121" s="2"/>
      <c r="O121" s="2">
        <f t="shared" si="55"/>
        <v>6.7753297962880863</v>
      </c>
    </row>
    <row r="122" spans="2:15">
      <c r="B122" s="1" t="s">
        <v>10</v>
      </c>
      <c r="C122" s="2">
        <f t="shared" si="51"/>
        <v>1.16137</v>
      </c>
      <c r="D122" s="2">
        <f t="shared" si="51"/>
        <v>2.3466099999992097E-3</v>
      </c>
      <c r="E122" s="2">
        <f t="shared" si="52"/>
        <v>1.1296999999999999</v>
      </c>
      <c r="F122" s="2">
        <f t="shared" si="52"/>
        <v>-0.2918</v>
      </c>
      <c r="G122" s="2">
        <f t="shared" si="56"/>
        <v>2.0016166099999992</v>
      </c>
      <c r="H122" s="2"/>
      <c r="I122" s="2">
        <f t="shared" si="53"/>
        <v>2.5222500000000001</v>
      </c>
      <c r="J122" s="2">
        <f t="shared" si="53"/>
        <v>1.6963022700000008</v>
      </c>
      <c r="K122" s="2">
        <f t="shared" si="54"/>
        <v>1.0064000000000017</v>
      </c>
      <c r="L122" s="2">
        <f t="shared" si="54"/>
        <v>5.0000000000000001E-3</v>
      </c>
      <c r="M122" s="2">
        <f t="shared" si="57"/>
        <v>5.2299522700000027</v>
      </c>
      <c r="N122" s="2"/>
      <c r="O122" s="2">
        <f t="shared" si="55"/>
        <v>7.231568880000002</v>
      </c>
    </row>
    <row r="123" spans="2:15">
      <c r="B123" s="1" t="s">
        <v>13</v>
      </c>
      <c r="C123" s="2">
        <f t="shared" si="51"/>
        <v>-3.8053399999999997</v>
      </c>
      <c r="D123" s="2">
        <f t="shared" si="51"/>
        <v>-1.5141860200000006</v>
      </c>
      <c r="E123" s="2">
        <f t="shared" si="52"/>
        <v>-1.9718399999999989</v>
      </c>
      <c r="F123" s="2">
        <f t="shared" si="52"/>
        <v>-0.2918</v>
      </c>
      <c r="G123" s="2">
        <f t="shared" si="56"/>
        <v>-7.5831660200000002</v>
      </c>
      <c r="H123" s="2"/>
      <c r="I123" s="2">
        <f t="shared" si="53"/>
        <v>-0.47025</v>
      </c>
      <c r="J123" s="2">
        <f t="shared" si="53"/>
        <v>-1.3672245599999999</v>
      </c>
      <c r="K123" s="2">
        <f t="shared" si="54"/>
        <v>0.14799999999999999</v>
      </c>
      <c r="L123" s="2">
        <f t="shared" si="54"/>
        <v>5.0000000000000001E-3</v>
      </c>
      <c r="M123" s="2">
        <f t="shared" si="57"/>
        <v>-1.6844745600000002</v>
      </c>
      <c r="N123" s="2"/>
      <c r="O123" s="2">
        <f t="shared" si="55"/>
        <v>-9.2676405800000001</v>
      </c>
    </row>
    <row r="124" spans="2:15">
      <c r="B124" s="1" t="s">
        <v>15</v>
      </c>
      <c r="C124" s="2">
        <f t="shared" si="51"/>
        <v>0.14825999999999998</v>
      </c>
      <c r="D124" s="2">
        <f t="shared" si="51"/>
        <v>2.4869543055555541</v>
      </c>
      <c r="E124" s="2">
        <f t="shared" si="52"/>
        <v>0.90376000000000112</v>
      </c>
      <c r="F124" s="2">
        <f t="shared" si="52"/>
        <v>-0.2918</v>
      </c>
      <c r="G124" s="2">
        <f t="shared" si="56"/>
        <v>3.2471743055555553</v>
      </c>
      <c r="H124" s="2"/>
      <c r="I124" s="2">
        <f t="shared" si="53"/>
        <v>4.7879999999999994</v>
      </c>
      <c r="J124" s="2">
        <f t="shared" si="53"/>
        <v>2.1428258799999997</v>
      </c>
      <c r="K124" s="2">
        <f t="shared" si="54"/>
        <v>3.1079999999999997</v>
      </c>
      <c r="L124" s="2">
        <f t="shared" si="54"/>
        <v>5.0000000000000001E-3</v>
      </c>
      <c r="M124" s="2">
        <f t="shared" si="57"/>
        <v>10.043825879999998</v>
      </c>
      <c r="N124" s="2"/>
      <c r="O124" s="2">
        <f t="shared" si="55"/>
        <v>13.291000185555554</v>
      </c>
    </row>
    <row r="125" spans="2:15">
      <c r="B125" s="1" t="s">
        <v>11</v>
      </c>
      <c r="C125" s="2">
        <f t="shared" si="51"/>
        <v>-4.6454800000000001</v>
      </c>
      <c r="D125" s="2">
        <f t="shared" si="51"/>
        <v>0.82553679937499891</v>
      </c>
      <c r="E125" s="2">
        <f t="shared" si="52"/>
        <v>-2.5264199999999994</v>
      </c>
      <c r="F125" s="2">
        <f t="shared" si="52"/>
        <v>-0.2918</v>
      </c>
      <c r="G125" s="2">
        <f t="shared" si="56"/>
        <v>-6.6381632006250015</v>
      </c>
      <c r="H125" s="2"/>
      <c r="I125" s="2">
        <f t="shared" si="53"/>
        <v>-4.2750000000000003E-2</v>
      </c>
      <c r="J125" s="2">
        <f t="shared" si="53"/>
        <v>-1.1940371015624998</v>
      </c>
      <c r="K125" s="2">
        <f t="shared" si="54"/>
        <v>0.41440000000000166</v>
      </c>
      <c r="L125" s="2">
        <f t="shared" si="54"/>
        <v>5.0000000000000001E-3</v>
      </c>
      <c r="M125" s="2">
        <f t="shared" si="57"/>
        <v>-0.81738710156249816</v>
      </c>
      <c r="N125" s="2"/>
      <c r="O125" s="2">
        <f t="shared" si="55"/>
        <v>-7.4555503021874996</v>
      </c>
    </row>
    <row r="126" spans="2:15">
      <c r="B126" s="1" t="s">
        <v>19</v>
      </c>
      <c r="C126" s="2">
        <f t="shared" si="51"/>
        <v>-2.74281</v>
      </c>
      <c r="D126" s="2">
        <f t="shared" si="51"/>
        <v>9.4103849999999309E-2</v>
      </c>
      <c r="E126" s="2">
        <f t="shared" si="52"/>
        <v>-1.1502399999999988</v>
      </c>
      <c r="F126" s="2">
        <f t="shared" si="52"/>
        <v>-0.2918</v>
      </c>
      <c r="G126" s="2">
        <f t="shared" si="56"/>
        <v>-4.0907461499999993</v>
      </c>
      <c r="H126" s="2"/>
      <c r="I126" s="2">
        <f t="shared" si="53"/>
        <v>-0.98324999999999996</v>
      </c>
      <c r="J126" s="2">
        <f t="shared" si="53"/>
        <v>0.24868232999999998</v>
      </c>
      <c r="K126" s="2">
        <f t="shared" si="54"/>
        <v>-0.14799999999999999</v>
      </c>
      <c r="L126" s="2">
        <f t="shared" si="54"/>
        <v>5.0000000000000001E-3</v>
      </c>
      <c r="M126" s="2">
        <f t="shared" si="57"/>
        <v>-0.87756767000000002</v>
      </c>
      <c r="N126" s="2"/>
      <c r="O126" s="2">
        <f t="shared" si="55"/>
        <v>-4.9683138199999997</v>
      </c>
    </row>
    <row r="127" spans="2:15">
      <c r="B127" s="1" t="s">
        <v>12</v>
      </c>
      <c r="C127" s="2">
        <f t="shared" si="51"/>
        <v>-7.3388699999999991</v>
      </c>
      <c r="D127" s="2">
        <f t="shared" si="51"/>
        <v>-3.2105934900000008</v>
      </c>
      <c r="E127" s="2">
        <f t="shared" si="52"/>
        <v>-5.0117600000000015</v>
      </c>
      <c r="F127" s="2">
        <f t="shared" si="52"/>
        <v>-0.2918</v>
      </c>
      <c r="G127" s="2">
        <f t="shared" si="56"/>
        <v>-15.853023490000004</v>
      </c>
      <c r="H127" s="2"/>
      <c r="I127" s="2">
        <f t="shared" si="53"/>
        <v>0.81224999999999992</v>
      </c>
      <c r="J127" s="2">
        <f t="shared" si="53"/>
        <v>-1.1496841200000003</v>
      </c>
      <c r="K127" s="2">
        <f t="shared" si="54"/>
        <v>0.97679999999999911</v>
      </c>
      <c r="L127" s="2">
        <f t="shared" si="54"/>
        <v>5.0000000000000001E-3</v>
      </c>
      <c r="M127" s="2">
        <f t="shared" si="57"/>
        <v>0.64436587999999873</v>
      </c>
      <c r="N127" s="2"/>
      <c r="O127" s="2">
        <f t="shared" si="55"/>
        <v>-15.208657610000005</v>
      </c>
    </row>
    <row r="128" spans="2:15">
      <c r="B128" s="1" t="s">
        <v>16</v>
      </c>
      <c r="C128" s="2">
        <f t="shared" si="51"/>
        <v>-0.56832999999999989</v>
      </c>
      <c r="D128" s="2">
        <f t="shared" si="51"/>
        <v>2.0736370000000015</v>
      </c>
      <c r="E128" s="2">
        <f t="shared" si="52"/>
        <v>0.67781999999999942</v>
      </c>
      <c r="F128" s="2">
        <f t="shared" si="52"/>
        <v>-0.2918</v>
      </c>
      <c r="G128" s="2">
        <f t="shared" si="56"/>
        <v>1.8913270000000006</v>
      </c>
      <c r="H128" s="2"/>
      <c r="I128" s="2">
        <f t="shared" si="53"/>
        <v>-4.0185000000000004</v>
      </c>
      <c r="J128" s="2">
        <f t="shared" si="53"/>
        <v>0.19354257000000025</v>
      </c>
      <c r="K128" s="2">
        <f t="shared" si="54"/>
        <v>-0.26640000000000169</v>
      </c>
      <c r="L128" s="2">
        <f t="shared" si="54"/>
        <v>5.0000000000000001E-3</v>
      </c>
      <c r="M128" s="2">
        <f t="shared" si="57"/>
        <v>-4.0863574300000014</v>
      </c>
      <c r="N128" s="2"/>
      <c r="O128" s="2">
        <f t="shared" si="55"/>
        <v>-2.195030430000001</v>
      </c>
    </row>
    <row r="129" spans="2:15">
      <c r="B129" s="1" t="s">
        <v>29</v>
      </c>
      <c r="C129" s="2">
        <f t="shared" si="51"/>
        <v>0.34593999999999997</v>
      </c>
      <c r="D129" s="2">
        <f t="shared" si="51"/>
        <v>1.2676961899999974</v>
      </c>
      <c r="E129" s="2">
        <f t="shared" si="52"/>
        <v>1.0680800000000006</v>
      </c>
      <c r="F129" s="2">
        <f t="shared" si="52"/>
        <v>-0.2918</v>
      </c>
      <c r="G129" s="2">
        <f t="shared" si="56"/>
        <v>2.3899161899999979</v>
      </c>
      <c r="H129" s="2"/>
      <c r="I129" s="2">
        <f t="shared" si="53"/>
        <v>-2.9497499999999999</v>
      </c>
      <c r="J129" s="2">
        <f t="shared" si="53"/>
        <v>-0.39100932000000005</v>
      </c>
      <c r="K129" s="2">
        <f t="shared" si="54"/>
        <v>-1.4207999999999992</v>
      </c>
      <c r="L129" s="2">
        <f t="shared" si="54"/>
        <v>5.0000000000000001E-3</v>
      </c>
      <c r="M129" s="2">
        <f t="shared" si="57"/>
        <v>-4.7565593199999991</v>
      </c>
      <c r="N129" s="2"/>
      <c r="O129" s="2">
        <f t="shared" si="55"/>
        <v>-2.3666431300000013</v>
      </c>
    </row>
    <row r="130" spans="2:15">
      <c r="B130" s="1" t="s">
        <v>26</v>
      </c>
      <c r="C130" s="2">
        <f t="shared" si="51"/>
        <v>-9.8839999999999997E-2</v>
      </c>
      <c r="D130" s="2">
        <f t="shared" si="51"/>
        <v>-0.91053256999999976</v>
      </c>
      <c r="E130" s="2">
        <f t="shared" si="52"/>
        <v>0.71889999999999998</v>
      </c>
      <c r="F130" s="2">
        <f t="shared" si="52"/>
        <v>-0.2918</v>
      </c>
      <c r="G130" s="2">
        <f t="shared" si="56"/>
        <v>-0.58227256999999977</v>
      </c>
      <c r="H130" s="2"/>
      <c r="I130" s="2">
        <f t="shared" si="53"/>
        <v>-6.7545000000000002</v>
      </c>
      <c r="J130" s="2">
        <f t="shared" si="53"/>
        <v>-0.19610838000000008</v>
      </c>
      <c r="K130" s="2">
        <f t="shared" si="54"/>
        <v>-3.9664000000000015</v>
      </c>
      <c r="L130" s="2">
        <f t="shared" si="54"/>
        <v>5.0000000000000001E-3</v>
      </c>
      <c r="M130" s="2">
        <f t="shared" si="57"/>
        <v>-10.912008380000001</v>
      </c>
      <c r="N130" s="2"/>
      <c r="O130" s="2">
        <f t="shared" si="55"/>
        <v>-11.49428095</v>
      </c>
    </row>
    <row r="131" spans="2:15">
      <c r="B131" s="1" t="s">
        <v>22</v>
      </c>
      <c r="C131" s="46">
        <f t="shared" si="51"/>
        <v>0</v>
      </c>
      <c r="D131" s="46">
        <f t="shared" si="51"/>
        <v>0</v>
      </c>
      <c r="E131" s="46">
        <f t="shared" si="52"/>
        <v>0</v>
      </c>
      <c r="F131" s="46">
        <f t="shared" si="52"/>
        <v>0</v>
      </c>
      <c r="G131" s="46">
        <f t="shared" si="56"/>
        <v>0</v>
      </c>
      <c r="H131" s="46"/>
      <c r="I131" s="46">
        <f t="shared" si="53"/>
        <v>0</v>
      </c>
      <c r="J131" s="46">
        <f t="shared" si="53"/>
        <v>0</v>
      </c>
      <c r="K131" s="46">
        <f t="shared" si="54"/>
        <v>0</v>
      </c>
      <c r="L131" s="46">
        <f t="shared" si="54"/>
        <v>0</v>
      </c>
      <c r="M131" s="46">
        <f t="shared" si="57"/>
        <v>0</v>
      </c>
      <c r="N131" s="46"/>
      <c r="O131" s="46">
        <f t="shared" si="55"/>
        <v>0</v>
      </c>
    </row>
    <row r="132" spans="2:15">
      <c r="B132" s="1" t="s">
        <v>30</v>
      </c>
      <c r="C132" s="46">
        <f t="shared" si="51"/>
        <v>0</v>
      </c>
      <c r="D132" s="46">
        <f t="shared" si="51"/>
        <v>0</v>
      </c>
      <c r="E132" s="46">
        <f t="shared" si="52"/>
        <v>0</v>
      </c>
      <c r="F132" s="46">
        <f t="shared" si="52"/>
        <v>0</v>
      </c>
      <c r="G132" s="46">
        <f t="shared" si="56"/>
        <v>0</v>
      </c>
      <c r="H132" s="46"/>
      <c r="I132" s="46">
        <f t="shared" si="53"/>
        <v>0</v>
      </c>
      <c r="J132" s="46">
        <f t="shared" si="53"/>
        <v>0</v>
      </c>
      <c r="K132" s="46">
        <f t="shared" si="54"/>
        <v>0</v>
      </c>
      <c r="L132" s="46">
        <f t="shared" si="54"/>
        <v>0</v>
      </c>
      <c r="M132" s="46">
        <f t="shared" si="57"/>
        <v>0</v>
      </c>
      <c r="N132" s="46"/>
      <c r="O132" s="46">
        <f t="shared" si="55"/>
        <v>0</v>
      </c>
    </row>
    <row r="133" spans="2:15">
      <c r="B133" s="15" t="s">
        <v>23</v>
      </c>
      <c r="C133" s="47">
        <f t="shared" si="51"/>
        <v>0</v>
      </c>
      <c r="D133" s="47">
        <f t="shared" si="51"/>
        <v>0</v>
      </c>
      <c r="E133" s="47">
        <f t="shared" si="52"/>
        <v>0</v>
      </c>
      <c r="F133" s="47">
        <f t="shared" si="52"/>
        <v>0</v>
      </c>
      <c r="G133" s="47">
        <f t="shared" si="56"/>
        <v>0</v>
      </c>
      <c r="H133" s="47"/>
      <c r="I133" s="47">
        <f t="shared" si="53"/>
        <v>0</v>
      </c>
      <c r="J133" s="47">
        <f t="shared" si="53"/>
        <v>0</v>
      </c>
      <c r="K133" s="47">
        <f t="shared" si="54"/>
        <v>0</v>
      </c>
      <c r="L133" s="47">
        <f t="shared" si="54"/>
        <v>0</v>
      </c>
      <c r="M133" s="47">
        <f t="shared" si="57"/>
        <v>0</v>
      </c>
      <c r="N133" s="47"/>
      <c r="O133" s="47">
        <f t="shared" si="55"/>
        <v>0</v>
      </c>
    </row>
    <row r="135" spans="2:15" ht="17.25">
      <c r="B135" s="14" t="s">
        <v>79</v>
      </c>
    </row>
    <row r="136" spans="2:15">
      <c r="B136" s="12" t="s">
        <v>1</v>
      </c>
      <c r="C136" s="12" t="s">
        <v>76</v>
      </c>
      <c r="D136" s="12" t="s">
        <v>77</v>
      </c>
      <c r="E136" s="12" t="s">
        <v>80</v>
      </c>
      <c r="F136" s="12" t="s">
        <v>81</v>
      </c>
      <c r="G136" s="12" t="s">
        <v>82</v>
      </c>
      <c r="H136" s="12" t="s">
        <v>83</v>
      </c>
    </row>
    <row r="137" spans="2:15">
      <c r="B137" s="1" t="s">
        <v>8</v>
      </c>
      <c r="C137" s="2">
        <f t="shared" ref="C137:C150" si="58">G117</f>
        <v>4.541356379999999</v>
      </c>
      <c r="D137" s="2">
        <f t="shared" ref="D137:D150" si="59">M117</f>
        <v>3.3375650200000004</v>
      </c>
      <c r="E137" s="2">
        <f t="shared" ref="E137:E150" si="60">(($C$107+C137)^$C$156)/((($C$107+C137)^$C$156)+(($C$108-D137)^$C$156))</f>
        <v>0.72683047721564831</v>
      </c>
      <c r="F137" s="41">
        <v>766</v>
      </c>
      <c r="G137" s="2">
        <f t="shared" ref="G137:G150" si="61">(F137/$C$157)*(E137-$C$158)</f>
        <v>4.8007530322330547</v>
      </c>
      <c r="H137" s="2">
        <f t="shared" ref="H137:H150" si="62">G137*$C$161</f>
        <v>3.9896012714866438</v>
      </c>
    </row>
    <row r="138" spans="2:15">
      <c r="B138" s="1" t="s">
        <v>27</v>
      </c>
      <c r="C138" s="2">
        <f t="shared" si="58"/>
        <v>2.8611194823966932</v>
      </c>
      <c r="D138" s="2">
        <f t="shared" si="59"/>
        <v>-2.6076430988429733</v>
      </c>
      <c r="E138" s="2">
        <f t="shared" si="60"/>
        <v>0.50772070146674209</v>
      </c>
      <c r="F138" s="41">
        <v>606</v>
      </c>
      <c r="G138" s="2">
        <f t="shared" si="61"/>
        <v>1.031723856017619</v>
      </c>
      <c r="H138" s="2">
        <f t="shared" si="62"/>
        <v>0.85740024120265446</v>
      </c>
    </row>
    <row r="139" spans="2:15">
      <c r="B139" s="1" t="s">
        <v>20</v>
      </c>
      <c r="C139" s="2">
        <f t="shared" si="58"/>
        <v>7.806028240661151</v>
      </c>
      <c r="D139" s="2">
        <f t="shared" si="59"/>
        <v>0.26819200859504244</v>
      </c>
      <c r="E139" s="2">
        <f t="shared" si="60"/>
        <v>0.72619861969176658</v>
      </c>
      <c r="F139" s="41">
        <v>764</v>
      </c>
      <c r="G139" s="2">
        <f t="shared" si="61"/>
        <v>4.7781613634272846</v>
      </c>
      <c r="H139" s="2">
        <f t="shared" si="62"/>
        <v>3.970826768822719</v>
      </c>
    </row>
    <row r="140" spans="2:15">
      <c r="B140" s="1" t="s">
        <v>17</v>
      </c>
      <c r="C140" s="2">
        <f t="shared" si="58"/>
        <v>2.2421894838016514</v>
      </c>
      <c r="D140" s="2">
        <f t="shared" si="59"/>
        <v>3.0577959894214888</v>
      </c>
      <c r="E140" s="2">
        <f t="shared" si="60"/>
        <v>0.66017949069290127</v>
      </c>
      <c r="F140" s="41">
        <v>447</v>
      </c>
      <c r="G140" s="2">
        <f t="shared" si="61"/>
        <v>2.1807965070776434</v>
      </c>
      <c r="H140" s="2">
        <f t="shared" si="62"/>
        <v>1.8123216210194393</v>
      </c>
    </row>
    <row r="141" spans="2:15">
      <c r="B141" s="1" t="s">
        <v>24</v>
      </c>
      <c r="C141" s="2">
        <f t="shared" si="58"/>
        <v>5.2873084298337938</v>
      </c>
      <c r="D141" s="2">
        <f t="shared" si="59"/>
        <v>1.4880213664542923</v>
      </c>
      <c r="E141" s="2">
        <f t="shared" si="60"/>
        <v>0.69674528708049055</v>
      </c>
      <c r="F141" s="41">
        <v>371</v>
      </c>
      <c r="G141" s="2">
        <f t="shared" si="61"/>
        <v>2.092635448059625</v>
      </c>
      <c r="H141" s="2">
        <f t="shared" si="62"/>
        <v>1.7390565580611204</v>
      </c>
    </row>
    <row r="142" spans="2:15">
      <c r="B142" s="1" t="s">
        <v>10</v>
      </c>
      <c r="C142" s="2">
        <f t="shared" si="58"/>
        <v>2.0016166099999992</v>
      </c>
      <c r="D142" s="2">
        <f t="shared" si="59"/>
        <v>5.2299522700000027</v>
      </c>
      <c r="E142" s="2">
        <f t="shared" si="60"/>
        <v>0.71426352565766904</v>
      </c>
      <c r="F142" s="41">
        <v>703</v>
      </c>
      <c r="G142" s="2">
        <f t="shared" si="61"/>
        <v>4.2218595528612779</v>
      </c>
      <c r="H142" s="2">
        <f t="shared" si="62"/>
        <v>3.5085196274507524</v>
      </c>
    </row>
    <row r="143" spans="2:15">
      <c r="B143" s="1" t="s">
        <v>13</v>
      </c>
      <c r="C143" s="2">
        <f t="shared" si="58"/>
        <v>-7.5831660200000002</v>
      </c>
      <c r="D143" s="2">
        <f t="shared" si="59"/>
        <v>-1.6844745600000002</v>
      </c>
      <c r="E143" s="2">
        <f t="shared" si="60"/>
        <v>0.23347319523502519</v>
      </c>
      <c r="F143" s="41">
        <v>124</v>
      </c>
      <c r="G143" s="2">
        <f t="shared" si="61"/>
        <v>-0.49736091230951829</v>
      </c>
      <c r="H143" s="2">
        <f t="shared" si="62"/>
        <v>-0.41332510021137953</v>
      </c>
    </row>
    <row r="144" spans="2:15">
      <c r="B144" s="1" t="s">
        <v>15</v>
      </c>
      <c r="C144" s="2">
        <f t="shared" si="58"/>
        <v>3.2471743055555553</v>
      </c>
      <c r="D144" s="2">
        <f t="shared" si="59"/>
        <v>10.043825879999998</v>
      </c>
      <c r="E144" s="2">
        <f t="shared" si="60"/>
        <v>0.84723208512835768</v>
      </c>
      <c r="F144" s="41">
        <v>204</v>
      </c>
      <c r="G144" s="2">
        <f t="shared" si="61"/>
        <v>1.7902363617955201</v>
      </c>
      <c r="H144" s="2">
        <f t="shared" si="62"/>
        <v>1.4877518625361987</v>
      </c>
    </row>
    <row r="145" spans="2:8">
      <c r="B145" s="1" t="s">
        <v>11</v>
      </c>
      <c r="C145" s="2">
        <f t="shared" si="58"/>
        <v>-6.6381632006250015</v>
      </c>
      <c r="D145" s="2">
        <f t="shared" si="59"/>
        <v>-0.81738710156249816</v>
      </c>
      <c r="E145" s="2">
        <f t="shared" si="60"/>
        <v>0.27771742853330394</v>
      </c>
      <c r="F145" s="41">
        <v>138</v>
      </c>
      <c r="G145" s="2">
        <f t="shared" si="61"/>
        <v>-0.42631239296675111</v>
      </c>
      <c r="H145" s="2">
        <f t="shared" si="62"/>
        <v>-0.35428118330834751</v>
      </c>
    </row>
    <row r="146" spans="2:8">
      <c r="B146" s="1" t="s">
        <v>19</v>
      </c>
      <c r="C146" s="2">
        <f t="shared" si="58"/>
        <v>-4.0907461499999993</v>
      </c>
      <c r="D146" s="2">
        <f t="shared" si="59"/>
        <v>-0.87756767000000002</v>
      </c>
      <c r="E146" s="2">
        <f t="shared" si="60"/>
        <v>0.34767301436896042</v>
      </c>
      <c r="F146" s="41">
        <v>150</v>
      </c>
      <c r="G146" s="2">
        <f t="shared" si="61"/>
        <v>-0.24477183009699865</v>
      </c>
      <c r="H146" s="2">
        <f t="shared" si="62"/>
        <v>-0.20341433896358199</v>
      </c>
    </row>
    <row r="147" spans="2:8">
      <c r="B147" s="1" t="s">
        <v>12</v>
      </c>
      <c r="C147" s="2">
        <f t="shared" si="58"/>
        <v>-15.853023490000004</v>
      </c>
      <c r="D147" s="2">
        <f t="shared" si="59"/>
        <v>0.64436587999999873</v>
      </c>
      <c r="E147" s="2">
        <f t="shared" si="60"/>
        <v>0.11375196916332524</v>
      </c>
      <c r="F147" s="41">
        <v>49</v>
      </c>
      <c r="G147" s="2">
        <f t="shared" si="61"/>
        <v>-0.31875319814577213</v>
      </c>
      <c r="H147" s="2">
        <f t="shared" si="62"/>
        <v>-0.26489556035780504</v>
      </c>
    </row>
    <row r="148" spans="2:8">
      <c r="B148" s="1" t="s">
        <v>16</v>
      </c>
      <c r="C148" s="2">
        <f t="shared" si="58"/>
        <v>1.8913270000000006</v>
      </c>
      <c r="D148" s="2">
        <f t="shared" si="59"/>
        <v>-4.0863574300000014</v>
      </c>
      <c r="E148" s="2">
        <f t="shared" si="60"/>
        <v>0.43367484400072021</v>
      </c>
      <c r="F148" s="41">
        <v>793</v>
      </c>
      <c r="G148" s="2">
        <f t="shared" si="61"/>
        <v>0.1267948185952319</v>
      </c>
      <c r="H148" s="2">
        <f t="shared" si="62"/>
        <v>0.10537112950593837</v>
      </c>
    </row>
    <row r="149" spans="2:8">
      <c r="B149" s="1" t="s">
        <v>29</v>
      </c>
      <c r="C149" s="2">
        <f t="shared" si="58"/>
        <v>2.3899161899999979</v>
      </c>
      <c r="D149" s="2">
        <f t="shared" si="59"/>
        <v>-4.7565593199999991</v>
      </c>
      <c r="E149" s="2">
        <f t="shared" si="60"/>
        <v>0.42891372408936662</v>
      </c>
      <c r="F149" s="41">
        <v>105</v>
      </c>
      <c r="G149" s="2">
        <f t="shared" si="61"/>
        <v>6.3737714454895067E-3</v>
      </c>
      <c r="H149" s="2">
        <f t="shared" si="62"/>
        <v>5.2968370779244338E-3</v>
      </c>
    </row>
    <row r="150" spans="2:8">
      <c r="B150" s="1" t="s">
        <v>26</v>
      </c>
      <c r="C150" s="2">
        <f t="shared" si="58"/>
        <v>-0.58227256999999977</v>
      </c>
      <c r="D150" s="2">
        <f t="shared" si="59"/>
        <v>-10.912008380000001</v>
      </c>
      <c r="E150" s="2">
        <f t="shared" si="60"/>
        <v>0.20220201079027497</v>
      </c>
      <c r="F150" s="41">
        <v>62</v>
      </c>
      <c r="G150" s="2">
        <f t="shared" si="61"/>
        <v>-0.28907240272922818</v>
      </c>
      <c r="H150" s="2">
        <f t="shared" si="62"/>
        <v>-0.24022973432228023</v>
      </c>
    </row>
    <row r="151" spans="2:8">
      <c r="B151" s="1" t="s">
        <v>22</v>
      </c>
      <c r="C151" s="46">
        <v>0</v>
      </c>
      <c r="D151" s="46">
        <v>0</v>
      </c>
      <c r="E151" s="46">
        <v>0</v>
      </c>
      <c r="F151" s="44">
        <v>0</v>
      </c>
      <c r="G151" s="46">
        <v>0</v>
      </c>
      <c r="H151" s="46">
        <v>0</v>
      </c>
    </row>
    <row r="152" spans="2:8">
      <c r="B152" s="1" t="s">
        <v>30</v>
      </c>
      <c r="C152" s="46">
        <v>0</v>
      </c>
      <c r="D152" s="46">
        <v>0</v>
      </c>
      <c r="E152" s="46">
        <v>0</v>
      </c>
      <c r="F152" s="44">
        <v>0</v>
      </c>
      <c r="G152" s="46">
        <v>0</v>
      </c>
      <c r="H152" s="46">
        <v>0</v>
      </c>
    </row>
    <row r="153" spans="2:8">
      <c r="B153" s="15" t="s">
        <v>23</v>
      </c>
      <c r="C153" s="47">
        <v>0</v>
      </c>
      <c r="D153" s="47">
        <v>0</v>
      </c>
      <c r="E153" s="47">
        <v>0</v>
      </c>
      <c r="F153" s="45">
        <v>0</v>
      </c>
      <c r="G153" s="47">
        <v>0</v>
      </c>
      <c r="H153" s="47">
        <v>0</v>
      </c>
    </row>
    <row r="154" spans="2:8">
      <c r="F154" s="19"/>
    </row>
    <row r="156" spans="2:8">
      <c r="B156" s="30" t="s">
        <v>84</v>
      </c>
      <c r="C156" s="23">
        <v>13.98</v>
      </c>
    </row>
    <row r="157" spans="2:8">
      <c r="B157" s="31" t="s">
        <v>81</v>
      </c>
      <c r="C157" s="24">
        <v>48</v>
      </c>
    </row>
    <row r="158" spans="2:8">
      <c r="B158" s="31" t="s">
        <v>85</v>
      </c>
      <c r="C158" s="25">
        <v>0.42599999999999999</v>
      </c>
    </row>
    <row r="159" spans="2:8">
      <c r="B159" s="31" t="s">
        <v>86</v>
      </c>
      <c r="C159" s="24">
        <v>16</v>
      </c>
    </row>
    <row r="160" spans="2:8">
      <c r="B160" s="31" t="s">
        <v>87</v>
      </c>
      <c r="C160" s="25">
        <f>SUM(G137:G153)</f>
        <v>19.253063975264482</v>
      </c>
    </row>
    <row r="161" spans="2:5">
      <c r="B161" s="29" t="s">
        <v>88</v>
      </c>
      <c r="C161" s="26">
        <f>C159/C160</f>
        <v>0.8310365571192263</v>
      </c>
    </row>
    <row r="164" spans="2:5" ht="17.25">
      <c r="B164" s="14" t="s">
        <v>89</v>
      </c>
    </row>
    <row r="165" spans="2:5">
      <c r="B165" s="12" t="s">
        <v>90</v>
      </c>
      <c r="C165" s="12" t="s">
        <v>91</v>
      </c>
      <c r="D165" s="12" t="s">
        <v>92</v>
      </c>
      <c r="E165" s="12" t="s">
        <v>93</v>
      </c>
    </row>
    <row r="166" spans="2:5">
      <c r="B166" s="5">
        <v>2011</v>
      </c>
      <c r="C166" s="53">
        <v>224.9</v>
      </c>
      <c r="D166" s="34">
        <v>3.2000000000000001E-2</v>
      </c>
      <c r="E166" s="1">
        <v>1</v>
      </c>
    </row>
    <row r="167" spans="2:5">
      <c r="B167" s="5">
        <v>2012</v>
      </c>
      <c r="C167" s="53">
        <v>229.6</v>
      </c>
      <c r="D167" s="34">
        <v>2.1000000000000001E-2</v>
      </c>
      <c r="E167" s="2">
        <f>E166*(1+D167)</f>
        <v>1.0209999999999999</v>
      </c>
    </row>
    <row r="168" spans="2:5">
      <c r="B168" s="5">
        <v>2013</v>
      </c>
      <c r="C168" s="53">
        <v>233</v>
      </c>
      <c r="D168" s="34">
        <v>1.4999999999999999E-2</v>
      </c>
      <c r="E168" s="2">
        <f t="shared" ref="E168:E177" si="63">E167*(1+D168)</f>
        <v>1.0363149999999999</v>
      </c>
    </row>
    <row r="169" spans="2:5">
      <c r="B169" s="5">
        <v>2014</v>
      </c>
      <c r="C169" s="53">
        <v>236.7</v>
      </c>
      <c r="D169" s="34">
        <v>1.6E-2</v>
      </c>
      <c r="E169" s="2">
        <f t="shared" si="63"/>
        <v>1.0528960399999998</v>
      </c>
    </row>
    <row r="170" spans="2:5">
      <c r="B170" s="5">
        <v>2015</v>
      </c>
      <c r="C170" s="53">
        <v>237</v>
      </c>
      <c r="D170" s="34">
        <v>1E-3</v>
      </c>
      <c r="E170" s="2">
        <f t="shared" si="63"/>
        <v>1.0539489360399996</v>
      </c>
    </row>
    <row r="171" spans="2:5">
      <c r="B171" s="5">
        <v>2016</v>
      </c>
      <c r="C171" s="53">
        <v>240</v>
      </c>
      <c r="D171" s="34">
        <v>1.2999999999999999E-2</v>
      </c>
      <c r="E171" s="2">
        <f t="shared" si="63"/>
        <v>1.0676502722085195</v>
      </c>
    </row>
    <row r="172" spans="2:5">
      <c r="B172" s="5">
        <v>2017</v>
      </c>
      <c r="C172" s="53">
        <v>245.1</v>
      </c>
      <c r="D172" s="34">
        <v>2.1000000000000001E-2</v>
      </c>
      <c r="E172" s="2">
        <f t="shared" si="63"/>
        <v>1.0900709279248983</v>
      </c>
    </row>
    <row r="173" spans="2:5">
      <c r="B173" s="5">
        <v>2018</v>
      </c>
      <c r="C173" s="53">
        <v>251.1</v>
      </c>
      <c r="D173" s="34">
        <v>2.4E-2</v>
      </c>
      <c r="E173" s="2">
        <f t="shared" si="63"/>
        <v>1.116232630195096</v>
      </c>
    </row>
    <row r="174" spans="2:5">
      <c r="B174" s="5">
        <v>2019</v>
      </c>
      <c r="C174" s="53">
        <v>255.7</v>
      </c>
      <c r="D174" s="34">
        <v>1.7999999999999999E-2</v>
      </c>
      <c r="E174" s="2">
        <f t="shared" si="63"/>
        <v>1.1363248175386078</v>
      </c>
    </row>
    <row r="175" spans="2:5">
      <c r="B175" s="5">
        <v>2020</v>
      </c>
      <c r="C175" s="53">
        <v>258.8</v>
      </c>
      <c r="D175" s="34">
        <v>1.2E-2</v>
      </c>
      <c r="E175" s="2">
        <f t="shared" si="63"/>
        <v>1.1499607153490712</v>
      </c>
    </row>
    <row r="176" spans="2:5">
      <c r="B176" s="5">
        <v>2021</v>
      </c>
      <c r="C176" s="53">
        <v>271</v>
      </c>
      <c r="D176" s="34">
        <v>4.7E-2</v>
      </c>
      <c r="E176" s="2">
        <f t="shared" si="63"/>
        <v>1.2040088689704775</v>
      </c>
    </row>
    <row r="177" spans="2:8">
      <c r="B177" s="20">
        <v>2022</v>
      </c>
      <c r="C177" s="54">
        <v>292.7</v>
      </c>
      <c r="D177" s="27">
        <v>0.08</v>
      </c>
      <c r="E177" s="16">
        <f t="shared" si="63"/>
        <v>1.3003295784881159</v>
      </c>
    </row>
    <row r="180" spans="2:8" ht="17.25">
      <c r="B180" s="14" t="s">
        <v>94</v>
      </c>
    </row>
    <row r="181" spans="2:8">
      <c r="B181" s="60" t="s">
        <v>1</v>
      </c>
      <c r="C181" s="12" t="s">
        <v>95</v>
      </c>
      <c r="D181" s="12" t="s">
        <v>96</v>
      </c>
      <c r="E181" s="12" t="s">
        <v>2</v>
      </c>
      <c r="F181" s="13" t="s">
        <v>97</v>
      </c>
    </row>
    <row r="182" spans="2:8">
      <c r="B182" s="61" t="s">
        <v>8</v>
      </c>
      <c r="C182" s="6">
        <f>($C$202+G137*($C$203+(1/(1+$C$207))*$C$204))*$C$206</f>
        <v>6370149.3346415032</v>
      </c>
      <c r="D182" s="6">
        <f>($C$202+H137*($C$203+(1/(1+$C$207))*$C$204))*$C$206</f>
        <v>5497113.7063781964</v>
      </c>
      <c r="E182" s="74">
        <v>31579390</v>
      </c>
      <c r="F182" s="57">
        <f t="shared" ref="F182:F196" si="64">E182-D182</f>
        <v>26082276.293621805</v>
      </c>
    </row>
    <row r="183" spans="2:8">
      <c r="B183" s="61" t="s">
        <v>27</v>
      </c>
      <c r="C183" s="6">
        <f t="shared" ref="C183:C195" si="65">($C$202+G138*($C$203+(1/(1+$C$207))*$C$204))*$C$206</f>
        <v>2313575.8128481214</v>
      </c>
      <c r="D183" s="6">
        <f t="shared" ref="D183:D195" si="66">($C$202+H138*($C$203+(1/(1+$C$207))*$C$204))*$C$206</f>
        <v>2125952.8131260113</v>
      </c>
      <c r="E183" s="74">
        <v>2161440</v>
      </c>
      <c r="F183" s="57">
        <f t="shared" si="64"/>
        <v>35487.186873988714</v>
      </c>
    </row>
    <row r="184" spans="2:8">
      <c r="B184" s="61" t="s">
        <v>20</v>
      </c>
      <c r="C184" s="6">
        <f t="shared" si="65"/>
        <v>6345834.1167947063</v>
      </c>
      <c r="D184" s="6">
        <f t="shared" si="66"/>
        <v>5476906.8714531912</v>
      </c>
      <c r="E184" s="74">
        <v>45780966</v>
      </c>
      <c r="F184" s="57">
        <f t="shared" si="64"/>
        <v>40304059.128546812</v>
      </c>
    </row>
    <row r="185" spans="2:8">
      <c r="B185" s="61" t="s">
        <v>17</v>
      </c>
      <c r="C185" s="6">
        <f t="shared" si="65"/>
        <v>3550312.7742710435</v>
      </c>
      <c r="D185" s="6">
        <f t="shared" si="66"/>
        <v>3153726.4396090102</v>
      </c>
      <c r="E185" s="74">
        <v>5178572</v>
      </c>
      <c r="F185" s="57">
        <f t="shared" si="64"/>
        <v>2024845.5603909898</v>
      </c>
    </row>
    <row r="186" spans="2:8">
      <c r="B186" s="61" t="s">
        <v>24</v>
      </c>
      <c r="C186" s="6">
        <f t="shared" si="65"/>
        <v>3455425.7885393859</v>
      </c>
      <c r="D186" s="6">
        <f t="shared" si="66"/>
        <v>3074871.8856711518</v>
      </c>
      <c r="E186" s="74">
        <v>2389641</v>
      </c>
      <c r="F186" s="57">
        <f t="shared" si="64"/>
        <v>-685230.8856711518</v>
      </c>
    </row>
    <row r="187" spans="2:8">
      <c r="B187" s="61" t="s">
        <v>10</v>
      </c>
      <c r="C187" s="6">
        <f t="shared" si="65"/>
        <v>5747091.2869146354</v>
      </c>
      <c r="D187" s="6">
        <f t="shared" si="66"/>
        <v>4979329.6915098345</v>
      </c>
      <c r="E187" s="74">
        <v>24026712</v>
      </c>
      <c r="F187" s="57">
        <f t="shared" si="64"/>
        <v>19047382.308490165</v>
      </c>
      <c r="H187" s="8"/>
    </row>
    <row r="188" spans="2:8">
      <c r="B188" s="61" t="s">
        <v>13</v>
      </c>
      <c r="C188" s="6">
        <f t="shared" si="65"/>
        <v>667835.09454414563</v>
      </c>
      <c r="D188" s="6">
        <f t="shared" si="66"/>
        <v>758282.11267575284</v>
      </c>
      <c r="E188" s="74">
        <v>1910860</v>
      </c>
      <c r="F188" s="57">
        <f t="shared" si="64"/>
        <v>1152577.887324247</v>
      </c>
      <c r="H188" s="7"/>
    </row>
    <row r="189" spans="2:8">
      <c r="B189" s="61" t="s">
        <v>15</v>
      </c>
      <c r="C189" s="6">
        <f t="shared" si="65"/>
        <v>3129956.2660176102</v>
      </c>
      <c r="D189" s="6">
        <f t="shared" si="66"/>
        <v>2804394.8142274166</v>
      </c>
      <c r="E189" s="74">
        <v>1939350</v>
      </c>
      <c r="F189" s="57">
        <f t="shared" si="64"/>
        <v>-865044.81422741665</v>
      </c>
      <c r="H189" s="7"/>
    </row>
    <row r="190" spans="2:8">
      <c r="B190" s="61" t="s">
        <v>11</v>
      </c>
      <c r="C190" s="6">
        <f t="shared" si="65"/>
        <v>744304.00174902333</v>
      </c>
      <c r="D190" s="6">
        <f t="shared" si="66"/>
        <v>821830.57004596374</v>
      </c>
      <c r="E190" s="74">
        <v>5466360</v>
      </c>
      <c r="F190" s="57">
        <f t="shared" si="64"/>
        <v>4644529.4299540361</v>
      </c>
      <c r="H190" s="7"/>
    </row>
    <row r="191" spans="2:8">
      <c r="B191" s="61" t="s">
        <v>19</v>
      </c>
      <c r="C191" s="6">
        <f t="shared" si="65"/>
        <v>939694.54027713626</v>
      </c>
      <c r="D191" s="6">
        <f t="shared" si="66"/>
        <v>984207.25047803833</v>
      </c>
      <c r="E191" s="74">
        <v>2089448</v>
      </c>
      <c r="F191" s="57">
        <f t="shared" si="64"/>
        <v>1105240.7495219617</v>
      </c>
      <c r="H191" s="7"/>
    </row>
    <row r="192" spans="2:8">
      <c r="B192" s="61" t="s">
        <v>12</v>
      </c>
      <c r="C192" s="6">
        <f t="shared" si="65"/>
        <v>860069.03336236812</v>
      </c>
      <c r="D192" s="6">
        <f t="shared" si="66"/>
        <v>918035.54335271637</v>
      </c>
      <c r="E192" s="74">
        <v>2089448</v>
      </c>
      <c r="F192" s="57">
        <f t="shared" si="64"/>
        <v>1171412.4566472836</v>
      </c>
      <c r="H192" s="7"/>
    </row>
    <row r="193" spans="2:8">
      <c r="B193" s="61" t="s">
        <v>16</v>
      </c>
      <c r="C193" s="6">
        <f t="shared" si="65"/>
        <v>1339608.5123360914</v>
      </c>
      <c r="D193" s="6">
        <f t="shared" si="66"/>
        <v>1316550.380961787</v>
      </c>
      <c r="E193" s="74">
        <v>37980720</v>
      </c>
      <c r="F193" s="57">
        <f t="shared" si="64"/>
        <v>36664169.619038209</v>
      </c>
      <c r="H193" s="7"/>
    </row>
    <row r="194" spans="2:8">
      <c r="B194" s="61" t="s">
        <v>29</v>
      </c>
      <c r="C194" s="6">
        <f t="shared" si="65"/>
        <v>1210000.3802428322</v>
      </c>
      <c r="D194" s="6">
        <f t="shared" si="66"/>
        <v>1208841.285092351</v>
      </c>
      <c r="E194" s="74">
        <v>3562080</v>
      </c>
      <c r="F194" s="57">
        <f t="shared" si="64"/>
        <v>2353238.714907649</v>
      </c>
      <c r="H194" s="7"/>
    </row>
    <row r="195" spans="2:8">
      <c r="B195" s="61" t="s">
        <v>26</v>
      </c>
      <c r="C195" s="6">
        <f t="shared" si="65"/>
        <v>892014.21689990093</v>
      </c>
      <c r="D195" s="6">
        <f t="shared" si="66"/>
        <v>944583.15869628941</v>
      </c>
      <c r="E195" s="74">
        <v>2641691</v>
      </c>
      <c r="F195" s="57">
        <f t="shared" si="64"/>
        <v>1697107.8413037106</v>
      </c>
    </row>
    <row r="196" spans="2:8">
      <c r="B196" s="61" t="s">
        <v>22</v>
      </c>
      <c r="C196" s="48">
        <v>0</v>
      </c>
      <c r="D196" s="48">
        <v>0</v>
      </c>
      <c r="E196" s="76">
        <v>0</v>
      </c>
      <c r="F196" s="58">
        <f t="shared" si="64"/>
        <v>0</v>
      </c>
    </row>
    <row r="197" spans="2:8">
      <c r="B197" s="61" t="s">
        <v>30</v>
      </c>
      <c r="C197" s="48">
        <v>0</v>
      </c>
      <c r="D197" s="48">
        <v>0</v>
      </c>
      <c r="E197" s="76">
        <v>0</v>
      </c>
      <c r="F197" s="58">
        <v>0</v>
      </c>
    </row>
    <row r="198" spans="2:8">
      <c r="B198" s="62" t="s">
        <v>23</v>
      </c>
      <c r="C198" s="49">
        <v>0</v>
      </c>
      <c r="D198" s="49">
        <v>0</v>
      </c>
      <c r="E198" s="77">
        <v>0</v>
      </c>
      <c r="F198" s="59">
        <v>0</v>
      </c>
    </row>
    <row r="200" spans="2:8">
      <c r="F200" s="8"/>
      <c r="G200" s="8"/>
    </row>
    <row r="201" spans="2:8">
      <c r="B201" s="60" t="s">
        <v>98</v>
      </c>
      <c r="C201" s="68" t="s">
        <v>99</v>
      </c>
      <c r="D201" s="51"/>
      <c r="F201" s="9"/>
      <c r="G201" s="10"/>
    </row>
    <row r="202" spans="2:8">
      <c r="B202" s="31" t="s">
        <v>100</v>
      </c>
      <c r="C202" s="69">
        <v>925258</v>
      </c>
      <c r="D202" s="35"/>
      <c r="F202" s="9"/>
      <c r="G202" s="10"/>
    </row>
    <row r="203" spans="2:8">
      <c r="B203" s="31" t="s">
        <v>101</v>
      </c>
      <c r="C203" s="69">
        <v>486524.3</v>
      </c>
      <c r="D203" s="35"/>
      <c r="F203" s="9"/>
      <c r="G203" s="10"/>
    </row>
    <row r="204" spans="2:8">
      <c r="B204" s="29" t="s">
        <v>102</v>
      </c>
      <c r="C204" s="70">
        <v>358241.4</v>
      </c>
      <c r="D204" s="35"/>
      <c r="F204" s="9"/>
      <c r="G204" s="10"/>
    </row>
    <row r="205" spans="2:8">
      <c r="F205" s="9"/>
      <c r="G205" s="10"/>
    </row>
    <row r="206" spans="2:8">
      <c r="B206" s="30" t="s">
        <v>103</v>
      </c>
      <c r="C206" s="36">
        <f>E177</f>
        <v>1.3003295784881159</v>
      </c>
      <c r="F206" s="9"/>
      <c r="G206" s="10"/>
    </row>
    <row r="207" spans="2:8">
      <c r="B207" s="29" t="s">
        <v>104</v>
      </c>
      <c r="C207" s="28">
        <v>0.05</v>
      </c>
      <c r="F207" s="9"/>
      <c r="G207" s="10"/>
    </row>
    <row r="211" spans="2:8">
      <c r="B211" s="11"/>
    </row>
    <row r="212" spans="2:8">
      <c r="B212" s="11"/>
    </row>
    <row r="215" spans="2:8">
      <c r="F215" s="9"/>
      <c r="G215" s="10"/>
      <c r="H215" s="7"/>
    </row>
    <row r="216" spans="2:8">
      <c r="F216" s="9"/>
      <c r="G216" s="10"/>
      <c r="H216" s="7"/>
    </row>
    <row r="217" spans="2:8">
      <c r="F217" s="9"/>
      <c r="G217" s="10"/>
      <c r="H217" s="7"/>
    </row>
    <row r="218" spans="2:8">
      <c r="F218" s="9"/>
      <c r="G218" s="10"/>
      <c r="H218" s="7"/>
    </row>
    <row r="219" spans="2:8">
      <c r="F219" s="9"/>
      <c r="G219" s="10"/>
      <c r="H219" s="7"/>
    </row>
    <row r="220" spans="2:8">
      <c r="F220" s="9"/>
      <c r="G220" s="10"/>
      <c r="H220" s="7"/>
    </row>
    <row r="221" spans="2:8">
      <c r="F221" s="9"/>
      <c r="G221" s="10"/>
      <c r="H221" s="7"/>
    </row>
    <row r="222" spans="2:8">
      <c r="F222" s="9"/>
      <c r="G222" s="10"/>
      <c r="H222" s="7"/>
    </row>
    <row r="223" spans="2:8">
      <c r="F223" s="9"/>
      <c r="G223" s="10"/>
      <c r="H223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Taylan G</dc:creator>
  <cp:keywords/>
  <dc:description/>
  <cp:lastModifiedBy/>
  <cp:revision/>
  <dcterms:created xsi:type="dcterms:W3CDTF">2024-04-03T00:28:59Z</dcterms:created>
  <dcterms:modified xsi:type="dcterms:W3CDTF">2024-04-15T20:29:25Z</dcterms:modified>
  <cp:category/>
  <cp:contentStatus/>
</cp:coreProperties>
</file>